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ato " sheetId="1" r:id="rId5"/>
    <sheet name="Hoja 1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<sst xmlns="http://schemas.openxmlformats.org/spreadsheetml/2006/main" uniqueCount="36">
  <si>
    <t xml:space="preserve">Resumen  </t>
  </si>
  <si>
    <r>
      <rPr>
        <sz val="10"/>
        <color indexed="8"/>
        <rFont val="Century Gothic"/>
      </rPr>
      <t xml:space="preserve">Producción General Evento </t>
    </r>
  </si>
  <si>
    <t xml:space="preserve">Presupuesto Cliente  </t>
  </si>
  <si>
    <r>
      <rPr>
        <sz val="10"/>
        <color indexed="8"/>
        <rFont val="Century Gothic"/>
      </rPr>
      <t xml:space="preserve">CDMX Sur - Bel Air 21 mayo </t>
    </r>
  </si>
  <si>
    <t xml:space="preserve">Presupuesto por evento </t>
  </si>
  <si>
    <r>
      <rPr>
        <sz val="10"/>
        <color indexed="8"/>
        <rFont val="Century Gothic"/>
      </rPr>
      <t xml:space="preserve">CDMX - EDO MEX NORTE - Fiesta Americana Satelite 28 mayo </t>
    </r>
  </si>
  <si>
    <r>
      <rPr>
        <sz val="10"/>
        <color indexed="8"/>
        <rFont val="Century Gothic"/>
      </rPr>
      <t xml:space="preserve">Guadalajara - Fiesta Americana Minerva 4 junio </t>
    </r>
  </si>
  <si>
    <t xml:space="preserve">Total </t>
  </si>
  <si>
    <t xml:space="preserve">Producción General Evento </t>
  </si>
  <si>
    <t xml:space="preserve">Concepto y Tematización </t>
  </si>
  <si>
    <t xml:space="preserve">Cantidad </t>
  </si>
  <si>
    <t xml:space="preserve">Costo Unitario </t>
  </si>
  <si>
    <t xml:space="preserve">Días </t>
  </si>
  <si>
    <t xml:space="preserve">Concepto creativo </t>
  </si>
  <si>
    <r>
      <rPr>
        <b val="1"/>
        <sz val="8"/>
        <color indexed="8"/>
        <rFont val="Century Gothic"/>
      </rPr>
      <t xml:space="preserve">Campaña Pre - evento: </t>
    </r>
    <r>
      <rPr>
        <sz val="8"/>
        <color indexed="8"/>
        <rFont val="Century Gothic"/>
      </rPr>
      <t xml:space="preserve">Conceptualización y producción de Save the date electrónico, video teaser e invitación electrónica </t>
    </r>
  </si>
  <si>
    <t xml:space="preserve">Sistema de registro y telemarketing </t>
  </si>
  <si>
    <t xml:space="preserve">Hostess por sede </t>
  </si>
  <si>
    <t>Audio, video</t>
  </si>
  <si>
    <t xml:space="preserve">Ambientación </t>
  </si>
  <si>
    <t xml:space="preserve">Banners </t>
  </si>
  <si>
    <t xml:space="preserve">CDMX Sur - Bel Air 21 mayo </t>
  </si>
  <si>
    <t xml:space="preserve">Sede, Alimentos, coffee break y estacionamiento  </t>
  </si>
  <si>
    <t xml:space="preserve">Renta de espacio </t>
  </si>
  <si>
    <r>
      <rPr>
        <b val="1"/>
        <sz val="8"/>
        <color indexed="8"/>
        <rFont val="Century Gothic"/>
      </rPr>
      <t xml:space="preserve">Cena: </t>
    </r>
    <r>
      <rPr>
        <sz val="8"/>
        <color indexed="8"/>
        <rFont val="Century Gothic"/>
      </rPr>
      <t xml:space="preserve"> 3 tiempos: Sopa, plato fuerte con guarnición, postre y agua de sabor , barra de limonada, naranjada y refrescos por todo el evento y dos copas de vino por persona o dos cervezas   </t>
    </r>
  </si>
  <si>
    <t xml:space="preserve">Estacionamiento </t>
  </si>
  <si>
    <t xml:space="preserve">Traslado Ponentes </t>
  </si>
  <si>
    <t>Vuelo (AEROMEXICO, maleta documentada de 25 kg, equipaje de mano, asiento designado, cambio permitido, reembolsable, impuestos incluidos)</t>
  </si>
  <si>
    <t xml:space="preserve">Transporte terrestre (Aeropuerto - sede / sede - aeropuerto) </t>
  </si>
  <si>
    <r>
      <rPr>
        <sz val="8"/>
        <color indexed="8"/>
        <rFont val="Century Gothic"/>
      </rPr>
      <t xml:space="preserve">Hospedaje: </t>
    </r>
    <r>
      <rPr>
        <b val="1"/>
        <sz val="8"/>
        <color indexed="8"/>
        <rFont val="Century Gothic"/>
      </rPr>
      <t>estancia 1 noche, desayuno incluido</t>
    </r>
  </si>
  <si>
    <t xml:space="preserve">Traslado staff CARNOT </t>
  </si>
  <si>
    <t xml:space="preserve">Traslado producción y staff de coordinación </t>
  </si>
  <si>
    <t>Personal de coordinación general (viáticos, transporte y hospedaje)</t>
  </si>
  <si>
    <t xml:space="preserve">Transporte terrestre y personal de montaje y desmontaje </t>
  </si>
  <si>
    <t xml:space="preserve">CDMX - EDO MEX NORTE - Fiesta Americana Satelite 28 mayo </t>
  </si>
  <si>
    <t xml:space="preserve">Guadalajara - Fiesta Americana Minerva 4 junio </t>
  </si>
  <si>
    <t>Tabla 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</si>
</sst>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_-&quot;$&quot;* #,##0.00_-;_-&quot;$&quot;* \(#,##0.00\)_-;_-&quot;$&quot;* &quot;-&quot;??;_-@_-"/>
    <numFmt numFmtId="60" formatCode="#,##0%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Century Gothic"/>
    </font>
    <font>
      <b val="1"/>
      <sz val="10"/>
      <color indexed="8"/>
      <name val="Helvetica Neue"/>
    </font>
    <font>
      <sz val="10"/>
      <color indexed="8"/>
      <name val="Century Gothic"/>
    </font>
    <font>
      <sz val="9"/>
      <color indexed="8"/>
      <name val="Century Gothic"/>
    </font>
    <font>
      <sz val="8"/>
      <color indexed="8"/>
      <name val="Century Gothic"/>
    </font>
    <font>
      <b val="1"/>
      <sz val="12"/>
      <color indexed="13"/>
      <name val="Century Gothic"/>
    </font>
    <font>
      <b val="1"/>
      <sz val="10"/>
      <color indexed="13"/>
      <name val="Century Gothic"/>
    </font>
    <font>
      <b val="1"/>
      <sz val="8"/>
      <color indexed="13"/>
      <name val="Century Gothic"/>
    </font>
    <font>
      <b val="1"/>
      <sz val="8"/>
      <color indexed="8"/>
      <name val="Century Gothic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61">
    <border>
      <left/>
      <right/>
      <top/>
      <bottom/>
      <diagonal/>
    </border>
    <border>
      <left style="thick">
        <color indexed="10"/>
      </left>
      <right style="thin">
        <color indexed="11"/>
      </right>
      <top style="thick">
        <color indexed="10"/>
      </top>
      <bottom style="thick">
        <color indexed="10"/>
      </bottom>
      <diagonal/>
    </border>
    <border>
      <left style="thin">
        <color indexed="11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0"/>
      </left>
      <right style="thin">
        <color indexed="13"/>
      </right>
      <top style="thick">
        <color indexed="13"/>
      </top>
      <bottom>
        <color indexed="8"/>
      </bottom>
      <diagonal/>
    </border>
    <border>
      <left style="thin">
        <color indexed="13"/>
      </left>
      <right>
        <color indexed="8"/>
      </right>
      <top>
        <color indexed="8"/>
      </top>
      <bottom style="thick">
        <color indexed="14"/>
      </bottom>
      <diagonal/>
    </border>
    <border>
      <left>
        <color indexed="8"/>
      </left>
      <right>
        <color indexed="8"/>
      </right>
      <top>
        <color indexed="8"/>
      </top>
      <bottom style="thick">
        <color indexed="14"/>
      </bottom>
      <diagonal/>
    </border>
    <border>
      <left style="thick">
        <color indexed="10"/>
      </left>
      <right style="thin">
        <color indexed="15"/>
      </right>
      <top style="thick">
        <color indexed="10"/>
      </top>
      <bottom/>
      <diagonal/>
    </border>
    <border>
      <left style="thin">
        <color indexed="15"/>
      </left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 style="thick">
        <color indexed="14"/>
      </right>
      <top>
        <color indexed="8"/>
      </top>
      <bottom>
        <color indexed="8"/>
      </bottom>
      <diagonal/>
    </border>
    <border>
      <left style="thick">
        <color indexed="14"/>
      </left>
      <right>
        <color indexed="8"/>
      </right>
      <top style="thick">
        <color indexed="14"/>
      </top>
      <bottom>
        <color indexed="8"/>
      </bottom>
      <diagonal/>
    </border>
    <border>
      <left>
        <color indexed="8"/>
      </left>
      <right style="thick">
        <color indexed="14"/>
      </right>
      <top style="thick">
        <color indexed="14"/>
      </top>
      <bottom>
        <color indexed="8"/>
      </bottom>
      <diagonal/>
    </border>
    <border>
      <left style="thick">
        <color indexed="10"/>
      </left>
      <right style="thin">
        <color indexed="15"/>
      </right>
      <top/>
      <bottom/>
      <diagonal/>
    </border>
    <border>
      <left style="thin">
        <color indexed="15"/>
      </left>
      <right style="thick">
        <color indexed="10"/>
      </right>
      <top/>
      <bottom/>
      <diagonal/>
    </border>
    <border>
      <left style="thick">
        <color indexed="10"/>
      </left>
      <right style="thick">
        <color indexed="14"/>
      </right>
      <top>
        <color indexed="8"/>
      </top>
      <bottom/>
      <diagonal/>
    </border>
    <border>
      <left style="thick">
        <color indexed="14"/>
      </left>
      <right>
        <color indexed="8"/>
      </right>
      <top>
        <color indexed="8"/>
      </top>
      <bottom style="thick">
        <color indexed="14"/>
      </bottom>
      <diagonal/>
    </border>
    <border>
      <left>
        <color indexed="8"/>
      </left>
      <right style="thick">
        <color indexed="14"/>
      </right>
      <top>
        <color indexed="8"/>
      </top>
      <bottom style="thick">
        <color indexed="14"/>
      </bottom>
      <diagonal/>
    </border>
    <border>
      <left style="thick">
        <color indexed="10"/>
      </left>
      <right>
        <color indexed="8"/>
      </right>
      <top/>
      <bottom/>
      <diagonal/>
    </border>
    <border>
      <left>
        <color indexed="8"/>
      </left>
      <right>
        <color indexed="8"/>
      </right>
      <top style="thick">
        <color indexed="14"/>
      </top>
      <bottom/>
      <diagonal/>
    </border>
    <border>
      <left style="thick">
        <color indexed="10"/>
      </left>
      <right style="thin">
        <color indexed="15"/>
      </right>
      <top/>
      <bottom style="thick">
        <color indexed="10"/>
      </bottom>
      <diagonal/>
    </border>
    <border>
      <left style="thin">
        <color indexed="15"/>
      </left>
      <right style="thick">
        <color indexed="10"/>
      </right>
      <top/>
      <bottom style="thick">
        <color indexed="10"/>
      </bottom>
      <diagonal/>
    </border>
    <border>
      <left>
        <color indexed="8"/>
      </left>
      <right>
        <color indexed="8"/>
      </right>
      <top/>
      <bottom/>
      <diagonal/>
    </border>
    <border>
      <left style="thick">
        <color indexed="10"/>
      </left>
      <right style="thin">
        <color indexed="15"/>
      </right>
      <top style="thick">
        <color indexed="10"/>
      </top>
      <bottom style="thick">
        <color indexed="10"/>
      </bottom>
      <diagonal/>
    </border>
    <border>
      <left style="thin">
        <color indexed="15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/>
      <top style="thick">
        <color indexed="10"/>
      </top>
      <bottom/>
      <diagonal/>
    </border>
    <border>
      <left/>
      <right/>
      <top/>
      <bottom/>
      <diagonal/>
    </border>
    <border>
      <left/>
      <right>
        <color indexed="8"/>
      </right>
      <top>
        <color indexed="8"/>
      </top>
      <bottom/>
      <diagonal/>
    </border>
    <border>
      <left>
        <color indexed="8"/>
      </left>
      <right>
        <color indexed="8"/>
      </right>
      <top>
        <color indexed="8"/>
      </top>
      <bottom/>
      <diagonal/>
    </border>
    <border>
      <left>
        <color indexed="8"/>
      </left>
      <right>
        <color indexed="8"/>
      </right>
      <top>
        <color indexed="8"/>
      </top>
      <bottom style="thick">
        <color indexed="10"/>
      </bottom>
      <diagonal/>
    </border>
    <border>
      <left>
        <color indexed="8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>
        <color indexed="8"/>
      </right>
      <top/>
      <bottom style="thick">
        <color indexed="10"/>
      </bottom>
      <diagonal/>
    </border>
    <border>
      <left>
        <color indexed="8"/>
      </left>
      <right>
        <color indexed="8"/>
      </right>
      <top/>
      <bottom style="thick">
        <color indexed="10"/>
      </bottom>
      <diagonal/>
    </border>
    <border>
      <left style="thin">
        <color indexed="15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>
        <color indexed="8"/>
      </right>
      <top style="thick">
        <color indexed="10"/>
      </top>
      <bottom/>
      <diagonal/>
    </border>
    <border>
      <left>
        <color indexed="8"/>
      </left>
      <right style="thick">
        <color indexed="10"/>
      </right>
      <top style="thick">
        <color indexed="10"/>
      </top>
      <bottom/>
      <diagonal/>
    </border>
    <border>
      <left style="thin">
        <color indexed="15"/>
      </left>
      <right/>
      <top/>
      <bottom/>
      <diagonal/>
    </border>
    <border>
      <left/>
      <right>
        <color indexed="8"/>
      </right>
      <top/>
      <bottom/>
      <diagonal/>
    </border>
    <border>
      <left>
        <color indexed="8"/>
      </left>
      <right style="thick">
        <color indexed="10"/>
      </right>
      <top/>
      <bottom/>
      <diagonal/>
    </border>
    <border>
      <left style="thin">
        <color indexed="15"/>
      </left>
      <right/>
      <top/>
      <bottom style="thick">
        <color indexed="10"/>
      </bottom>
      <diagonal/>
    </border>
    <border>
      <left>
        <color indexed="8"/>
      </left>
      <right style="thick">
        <color indexed="10"/>
      </right>
      <top/>
      <bottom style="thick">
        <color indexed="10"/>
      </bottom>
      <diagonal/>
    </border>
    <border>
      <left>
        <color indexed="8"/>
      </left>
      <right>
        <color indexed="8"/>
      </right>
      <top style="thick">
        <color indexed="10"/>
      </top>
      <bottom style="thick">
        <color indexed="10"/>
      </bottom>
      <diagonal/>
    </border>
    <border>
      <left>
        <color indexed="8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>
        <color indexed="8"/>
      </right>
      <top style="thick">
        <color indexed="10"/>
      </top>
      <bottom style="thick">
        <color indexed="10"/>
      </bottom>
      <diagonal/>
    </border>
    <border>
      <left>
        <color indexed="8"/>
      </left>
      <right/>
      <top style="thick">
        <color indexed="10"/>
      </top>
      <bottom>
        <color indexed="8"/>
      </bottom>
      <diagonal/>
    </border>
    <border>
      <left/>
      <right/>
      <top style="thick">
        <color indexed="10"/>
      </top>
      <bottom>
        <color indexed="8"/>
      </bottom>
      <diagonal/>
    </border>
    <border>
      <left/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>
        <color indexed="8"/>
      </bottom>
      <diagonal/>
    </border>
    <border>
      <left/>
      <right/>
      <top>
        <color indexed="8"/>
      </top>
      <bottom>
        <color indexed="8"/>
      </bottom>
      <diagonal/>
    </border>
    <border>
      <left/>
      <right>
        <color indexed="8"/>
      </right>
      <top>
        <color indexed="8"/>
      </top>
      <bottom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3" fillId="3" borderId="2" applyNumberFormat="0" applyFont="1" applyFill="1" applyBorder="1" applyAlignment="1" applyProtection="0">
      <alignment vertical="top" wrapText="1"/>
    </xf>
    <xf numFmtId="59" fontId="2" fillId="4" borderId="3" applyNumberFormat="1" applyFont="1" applyFill="1" applyBorder="1" applyAlignment="1" applyProtection="0">
      <alignment horizontal="center" vertical="top" wrapText="1"/>
    </xf>
    <xf numFmtId="0" fontId="2" fillId="4" borderId="4" applyNumberFormat="0" applyFont="1" applyFill="1" applyBorder="1" applyAlignment="1" applyProtection="0">
      <alignment horizontal="center" vertical="top" wrapText="1"/>
    </xf>
    <xf numFmtId="59" fontId="4" fillId="4" borderId="5" applyNumberFormat="1" applyFont="1" applyFill="1" applyBorder="1" applyAlignment="1" applyProtection="0">
      <alignment horizontal="center" vertical="top" wrapText="1"/>
    </xf>
    <xf numFmtId="0" fontId="4" fillId="4" borderId="6" applyNumberFormat="0" applyFont="1" applyFill="1" applyBorder="1" applyAlignment="1" applyProtection="0">
      <alignment vertical="top" wrapText="1"/>
    </xf>
    <xf numFmtId="59" fontId="4" fillId="4" borderId="7" applyNumberFormat="1" applyFont="1" applyFill="1" applyBorder="1" applyAlignment="1" applyProtection="0">
      <alignment horizontal="center" vertical="top" wrapText="1"/>
    </xf>
    <xf numFmtId="60" fontId="4" fillId="4" borderId="8" applyNumberFormat="1" applyFont="1" applyFill="1" applyBorder="1" applyAlignment="1" applyProtection="0">
      <alignment horizontal="center" vertical="top" wrapText="1"/>
    </xf>
    <xf numFmtId="49" fontId="5" fillId="4" borderId="9" applyNumberFormat="1" applyFont="1" applyFill="1" applyBorder="1" applyAlignment="1" applyProtection="0">
      <alignment horizontal="center" vertical="top" wrapText="1"/>
    </xf>
    <xf numFmtId="59" fontId="4" fillId="4" borderId="10" applyNumberFormat="1" applyFont="1" applyFill="1" applyBorder="1" applyAlignment="1" applyProtection="0">
      <alignment horizontal="center" vertical="top" wrapText="1"/>
    </xf>
    <xf numFmtId="0" fontId="4" fillId="4" borderId="11" applyNumberFormat="0" applyFont="1" applyFill="1" applyBorder="1" applyAlignment="1" applyProtection="0">
      <alignment vertical="top" wrapText="1"/>
    </xf>
    <xf numFmtId="59" fontId="4" fillId="4" borderId="12" applyNumberFormat="1" applyFont="1" applyFill="1" applyBorder="1" applyAlignment="1" applyProtection="0">
      <alignment horizontal="center" vertical="top" wrapText="1"/>
    </xf>
    <xf numFmtId="59" fontId="4" fillId="4" borderId="13" applyNumberFormat="1" applyFont="1" applyFill="1" applyBorder="1" applyAlignment="1" applyProtection="0">
      <alignment horizontal="center" vertical="top" wrapText="1"/>
    </xf>
    <xf numFmtId="49" fontId="6" fillId="4" borderId="14" applyNumberFormat="1" applyFont="1" applyFill="1" applyBorder="1" applyAlignment="1" applyProtection="0">
      <alignment horizontal="center" vertical="top" wrapText="1"/>
    </xf>
    <xf numFmtId="59" fontId="4" fillId="4" borderId="15" applyNumberFormat="1" applyFont="1" applyFill="1" applyBorder="1" applyAlignment="1" applyProtection="0">
      <alignment horizontal="center" vertical="top" wrapText="1"/>
    </xf>
    <xf numFmtId="59" fontId="4" fillId="4" borderId="16" applyNumberFormat="1" applyFont="1" applyFill="1" applyBorder="1" applyAlignment="1" applyProtection="0">
      <alignment horizontal="center" vertical="top" wrapText="1"/>
    </xf>
    <xf numFmtId="0" fontId="4" fillId="4" borderId="17" applyNumberFormat="1" applyFont="1" applyFill="1" applyBorder="1" applyAlignment="1" applyProtection="0">
      <alignment horizontal="center" vertical="top" wrapText="1"/>
    </xf>
    <xf numFmtId="59" fontId="4" fillId="4" borderId="17" applyNumberFormat="1" applyFont="1" applyFill="1" applyBorder="1" applyAlignment="1" applyProtection="0">
      <alignment horizontal="center" vertical="top" wrapText="1"/>
    </xf>
    <xf numFmtId="0" fontId="4" fillId="4" borderId="18" applyNumberFormat="0" applyFont="1" applyFill="1" applyBorder="1" applyAlignment="1" applyProtection="0">
      <alignment vertical="top" wrapText="1"/>
    </xf>
    <xf numFmtId="59" fontId="4" fillId="4" borderId="19" applyNumberFormat="1" applyFont="1" applyFill="1" applyBorder="1" applyAlignment="1" applyProtection="0">
      <alignment horizontal="center" vertical="top" wrapText="1"/>
    </xf>
    <xf numFmtId="0" fontId="4" fillId="4" borderId="20" applyNumberFormat="1" applyFont="1" applyFill="1" applyBorder="1" applyAlignment="1" applyProtection="0">
      <alignment horizontal="center" vertical="top" wrapText="1"/>
    </xf>
    <xf numFmtId="59" fontId="4" fillId="4" borderId="20" applyNumberFormat="1" applyFont="1" applyFill="1" applyBorder="1" applyAlignment="1" applyProtection="0">
      <alignment horizontal="center" vertical="top" wrapText="1"/>
    </xf>
    <xf numFmtId="49" fontId="4" fillId="4" borderId="21" applyNumberFormat="1" applyFont="1" applyFill="1" applyBorder="1" applyAlignment="1" applyProtection="0">
      <alignment vertical="top" wrapText="1"/>
    </xf>
    <xf numFmtId="59" fontId="4" fillId="4" borderId="22" applyNumberFormat="1" applyFont="1" applyFill="1" applyBorder="1" applyAlignment="1" applyProtection="0">
      <alignment horizontal="center" vertical="top" wrapText="1"/>
    </xf>
    <xf numFmtId="0" fontId="4" fillId="4" borderId="23" applyNumberFormat="1" applyFont="1" applyFill="1" applyBorder="1" applyAlignment="1" applyProtection="0">
      <alignment horizontal="center" vertical="top" wrapText="1"/>
    </xf>
    <xf numFmtId="59" fontId="4" fillId="4" borderId="23" applyNumberFormat="1" applyFont="1" applyFill="1" applyBorder="1" applyAlignment="1" applyProtection="0">
      <alignment horizontal="center" vertical="top" wrapText="1"/>
    </xf>
    <xf numFmtId="0" fontId="4" fillId="4" borderId="24" applyNumberFormat="0" applyFont="1" applyFill="1" applyBorder="1" applyAlignment="1" applyProtection="0">
      <alignment vertical="top" wrapText="1"/>
    </xf>
    <xf numFmtId="0" fontId="4" fillId="4" borderId="25" applyNumberFormat="0" applyFont="1" applyFill="1" applyBorder="1" applyAlignment="1" applyProtection="0">
      <alignment horizontal="center" vertical="top" wrapText="1"/>
    </xf>
    <xf numFmtId="59" fontId="4" fillId="4" borderId="26" applyNumberFormat="1" applyFont="1" applyFill="1" applyBorder="1" applyAlignment="1" applyProtection="0">
      <alignment horizontal="center" vertical="top" wrapText="1"/>
    </xf>
    <xf numFmtId="0" fontId="4" fillId="4" borderId="27" applyNumberFormat="1" applyFont="1" applyFill="1" applyBorder="1" applyAlignment="1" applyProtection="0">
      <alignment horizontal="center" vertical="top" wrapText="1"/>
    </xf>
    <xf numFmtId="59" fontId="4" fillId="4" borderId="28" applyNumberFormat="1" applyFont="1" applyFill="1" applyBorder="1" applyAlignment="1" applyProtection="0">
      <alignment horizontal="center" vertical="top" wrapText="1"/>
    </xf>
    <xf numFmtId="0" fontId="4" fillId="4" borderId="29" applyNumberFormat="0" applyFont="1" applyFill="1" applyBorder="1" applyAlignment="1" applyProtection="0">
      <alignment vertical="top" wrapText="1"/>
    </xf>
    <xf numFmtId="0" fontId="4" fillId="4" borderId="30" applyNumberFormat="0" applyFont="1" applyFill="1" applyBorder="1" applyAlignment="1" applyProtection="0">
      <alignment horizontal="center" vertical="top" wrapText="1"/>
    </xf>
    <xf numFmtId="59" fontId="4" fillId="4" borderId="31" applyNumberFormat="1" applyFont="1" applyFill="1" applyBorder="1" applyAlignment="1" applyProtection="0">
      <alignment horizontal="center" vertical="top" wrapText="1"/>
    </xf>
    <xf numFmtId="0" fontId="4" fillId="4" borderId="32" applyNumberFormat="1" applyFont="1" applyFill="1" applyBorder="1" applyAlignment="1" applyProtection="0">
      <alignment horizontal="center" vertical="top" wrapText="1"/>
    </xf>
    <xf numFmtId="59" fontId="4" fillId="4" borderId="33" applyNumberFormat="1" applyFont="1" applyFill="1" applyBorder="1" applyAlignment="1" applyProtection="0">
      <alignment horizontal="center" vertical="top" wrapText="1"/>
    </xf>
    <xf numFmtId="49" fontId="7" fillId="5" borderId="6" applyNumberFormat="1" applyFont="1" applyFill="1" applyBorder="1" applyAlignment="1" applyProtection="0">
      <alignment vertical="center"/>
    </xf>
    <xf numFmtId="0" fontId="8" fillId="5" borderId="34" applyNumberFormat="0" applyFont="1" applyFill="1" applyBorder="1" applyAlignment="1" applyProtection="0">
      <alignment horizontal="center" vertical="center"/>
    </xf>
    <xf numFmtId="59" fontId="8" fillId="5" borderId="35" applyNumberFormat="1" applyFont="1" applyFill="1" applyBorder="1" applyAlignment="1" applyProtection="0">
      <alignment horizontal="center" vertical="center"/>
    </xf>
    <xf numFmtId="0" fontId="8" fillId="5" borderId="36" applyNumberFormat="0" applyFont="1" applyFill="1" applyBorder="1" applyAlignment="1" applyProtection="0">
      <alignment horizontal="center" vertical="center"/>
    </xf>
    <xf numFmtId="59" fontId="7" fillId="5" borderId="37" applyNumberFormat="1" applyFont="1" applyFill="1" applyBorder="1" applyAlignment="1" applyProtection="0">
      <alignment horizontal="center" vertical="center"/>
    </xf>
    <xf numFmtId="49" fontId="9" fillId="6" borderId="11" applyNumberFormat="1" applyFont="1" applyFill="1" applyBorder="1" applyAlignment="1" applyProtection="0">
      <alignment vertical="center"/>
    </xf>
    <xf numFmtId="49" fontId="9" fillId="6" borderId="38" applyNumberFormat="1" applyFont="1" applyFill="1" applyBorder="1" applyAlignment="1" applyProtection="0">
      <alignment horizontal="center" vertical="center"/>
    </xf>
    <xf numFmtId="49" fontId="9" fillId="6" borderId="26" applyNumberFormat="1" applyFont="1" applyFill="1" applyBorder="1" applyAlignment="1" applyProtection="0">
      <alignment horizontal="center" vertical="center"/>
    </xf>
    <xf numFmtId="49" fontId="9" fillId="6" borderId="39" applyNumberFormat="1" applyFont="1" applyFill="1" applyBorder="1" applyAlignment="1" applyProtection="0">
      <alignment horizontal="center" vertical="center"/>
    </xf>
    <xf numFmtId="59" fontId="9" fillId="6" borderId="40" applyNumberFormat="1" applyFont="1" applyFill="1" applyBorder="1" applyAlignment="1" applyProtection="0">
      <alignment horizontal="center" vertical="center"/>
    </xf>
    <xf numFmtId="49" fontId="6" fillId="4" borderId="11" applyNumberFormat="1" applyFont="1" applyFill="1" applyBorder="1" applyAlignment="1" applyProtection="0">
      <alignment vertical="center"/>
    </xf>
    <xf numFmtId="1" fontId="6" borderId="38" applyNumberFormat="1" applyFont="1" applyFill="0" applyBorder="1" applyAlignment="1" applyProtection="0">
      <alignment horizontal="center" vertical="center"/>
    </xf>
    <xf numFmtId="59" fontId="6" borderId="26" applyNumberFormat="1" applyFont="1" applyFill="0" applyBorder="1" applyAlignment="1" applyProtection="0">
      <alignment horizontal="center" vertical="center"/>
    </xf>
    <xf numFmtId="0" fontId="6" borderId="39" applyNumberFormat="1" applyFont="1" applyFill="0" applyBorder="1" applyAlignment="1" applyProtection="0">
      <alignment horizontal="center" vertical="center"/>
    </xf>
    <xf numFmtId="59" fontId="6" borderId="40" applyNumberFormat="1" applyFont="1" applyFill="0" applyBorder="1" applyAlignment="1" applyProtection="0">
      <alignment horizontal="center" vertical="center"/>
    </xf>
    <xf numFmtId="49" fontId="10" fillId="4" borderId="11" applyNumberFormat="1" applyFont="1" applyFill="1" applyBorder="1" applyAlignment="1" applyProtection="0">
      <alignment vertical="center" wrapText="1"/>
    </xf>
    <xf numFmtId="0" fontId="9" fillId="6" borderId="38" applyNumberFormat="1" applyFont="1" applyFill="1" applyBorder="1" applyAlignment="1" applyProtection="0">
      <alignment horizontal="center" vertical="center"/>
    </xf>
    <xf numFmtId="59" fontId="9" fillId="6" borderId="26" applyNumberFormat="1" applyFont="1" applyFill="1" applyBorder="1" applyAlignment="1" applyProtection="0">
      <alignment horizontal="center" vertical="center"/>
    </xf>
    <xf numFmtId="0" fontId="9" fillId="6" borderId="39" applyNumberFormat="1" applyFont="1" applyFill="1" applyBorder="1" applyAlignment="1" applyProtection="0">
      <alignment horizontal="center" vertical="center"/>
    </xf>
    <xf numFmtId="0" fontId="6" fillId="4" borderId="11" applyNumberFormat="0" applyFont="1" applyFill="1" applyBorder="1" applyAlignment="1" applyProtection="0">
      <alignment vertical="center"/>
    </xf>
    <xf numFmtId="49" fontId="6" borderId="11" applyNumberFormat="1" applyFont="1" applyFill="0" applyBorder="1" applyAlignment="1" applyProtection="0">
      <alignment vertical="center"/>
    </xf>
    <xf numFmtId="0" fontId="6" borderId="18" applyNumberFormat="0" applyFont="1" applyFill="0" applyBorder="1" applyAlignment="1" applyProtection="0">
      <alignment vertical="center"/>
    </xf>
    <xf numFmtId="0" fontId="6" borderId="41" applyNumberFormat="1" applyFont="1" applyFill="0" applyBorder="1" applyAlignment="1" applyProtection="0">
      <alignment horizontal="center" vertical="center"/>
    </xf>
    <xf numFmtId="59" fontId="6" borderId="31" applyNumberFormat="1" applyFont="1" applyFill="0" applyBorder="1" applyAlignment="1" applyProtection="0">
      <alignment horizontal="center" vertical="center"/>
    </xf>
    <xf numFmtId="0" fontId="6" borderId="32" applyNumberFormat="1" applyFont="1" applyFill="0" applyBorder="1" applyAlignment="1" applyProtection="0">
      <alignment horizontal="center" vertical="center"/>
    </xf>
    <xf numFmtId="59" fontId="6" borderId="42" applyNumberFormat="1" applyFont="1" applyFill="0" applyBorder="1" applyAlignment="1" applyProtection="0">
      <alignment horizontal="center" vertical="center"/>
    </xf>
    <xf numFmtId="0" fontId="4" fillId="4" borderId="43" applyNumberFormat="0" applyFont="1" applyFill="1" applyBorder="1" applyAlignment="1" applyProtection="0">
      <alignment vertical="center"/>
    </xf>
    <xf numFmtId="1" fontId="2" fillId="4" borderId="43" applyNumberFormat="1" applyFont="1" applyFill="1" applyBorder="1" applyAlignment="1" applyProtection="0">
      <alignment horizontal="center" vertical="center"/>
    </xf>
    <xf numFmtId="59" fontId="2" fillId="4" borderId="43" applyNumberFormat="1" applyFont="1" applyFill="1" applyBorder="1" applyAlignment="1" applyProtection="0">
      <alignment horizontal="center" vertical="center"/>
    </xf>
    <xf numFmtId="0" fontId="2" fillId="4" borderId="43" applyNumberFormat="1" applyFont="1" applyFill="1" applyBorder="1" applyAlignment="1" applyProtection="0">
      <alignment horizontal="center" vertical="center"/>
    </xf>
    <xf numFmtId="0" fontId="8" fillId="5" borderId="34" applyNumberFormat="1" applyFont="1" applyFill="1" applyBorder="1" applyAlignment="1" applyProtection="0">
      <alignment horizontal="center" vertical="center"/>
    </xf>
    <xf numFmtId="0" fontId="8" fillId="5" borderId="36" applyNumberFormat="1" applyFont="1" applyFill="1" applyBorder="1" applyAlignment="1" applyProtection="0">
      <alignment horizontal="center" vertical="center"/>
    </xf>
    <xf numFmtId="49" fontId="6" borderId="11" applyNumberFormat="1" applyFont="1" applyFill="0" applyBorder="1" applyAlignment="1" applyProtection="0">
      <alignment vertical="center" wrapText="1"/>
    </xf>
    <xf numFmtId="49" fontId="6" fillId="4" borderId="18" applyNumberFormat="1" applyFont="1" applyFill="1" applyBorder="1" applyAlignment="1" applyProtection="0">
      <alignment vertical="center"/>
    </xf>
    <xf numFmtId="1" fontId="6" borderId="41" applyNumberFormat="1" applyFont="1" applyFill="0" applyBorder="1" applyAlignment="1" applyProtection="0">
      <alignment horizontal="center" vertical="center"/>
    </xf>
    <xf numFmtId="0" fontId="4" borderId="43" applyNumberFormat="0" applyFont="1" applyFill="0" applyBorder="1" applyAlignment="1" applyProtection="0">
      <alignment vertical="top" wrapText="1"/>
    </xf>
    <xf numFmtId="0" fontId="4" borderId="44" applyNumberFormat="0" applyFont="1" applyFill="0" applyBorder="1" applyAlignment="1" applyProtection="0">
      <alignment horizontal="center" vertical="top" wrapText="1"/>
    </xf>
    <xf numFmtId="59" fontId="4" borderId="45" applyNumberFormat="1" applyFont="1" applyFill="0" applyBorder="1" applyAlignment="1" applyProtection="0">
      <alignment horizontal="center" vertical="top" wrapText="1"/>
    </xf>
    <xf numFmtId="3" fontId="4" borderId="46" applyNumberFormat="1" applyFont="1" applyFill="0" applyBorder="1" applyAlignment="1" applyProtection="0">
      <alignment horizontal="center" vertical="top" wrapText="1"/>
    </xf>
    <xf numFmtId="59" fontId="4" borderId="43" applyNumberFormat="1" applyFont="1" applyFill="0" applyBorder="1" applyAlignment="1" applyProtection="0">
      <alignment horizontal="center" vertical="top" wrapText="1"/>
    </xf>
    <xf numFmtId="0" fontId="4" borderId="24" applyNumberFormat="0" applyFont="1" applyFill="0" applyBorder="1" applyAlignment="1" applyProtection="0">
      <alignment vertical="top" wrapText="1"/>
    </xf>
    <xf numFmtId="0" fontId="4" borderId="47" applyNumberFormat="0" applyFont="1" applyFill="0" applyBorder="1" applyAlignment="1" applyProtection="0">
      <alignment horizontal="center" vertical="top" wrapText="1"/>
    </xf>
    <xf numFmtId="59" fontId="4" borderId="48" applyNumberFormat="1" applyFont="1" applyFill="0" applyBorder="1" applyAlignment="1" applyProtection="0">
      <alignment horizontal="center" vertical="top" wrapText="1"/>
    </xf>
    <xf numFmtId="3" fontId="4" borderId="49" applyNumberFormat="1" applyFont="1" applyFill="0" applyBorder="1" applyAlignment="1" applyProtection="0">
      <alignment horizontal="center" vertical="top" wrapText="1"/>
    </xf>
    <xf numFmtId="59" fontId="4" borderId="24" applyNumberFormat="1" applyFont="1" applyFill="0" applyBorder="1" applyAlignment="1" applyProtection="0">
      <alignment horizontal="center" vertical="top" wrapText="1"/>
    </xf>
    <xf numFmtId="0" fontId="4" borderId="50" applyNumberFormat="0" applyFont="1" applyFill="0" applyBorder="1" applyAlignment="1" applyProtection="0">
      <alignment vertical="top" wrapText="1"/>
    </xf>
    <xf numFmtId="0" fontId="4" borderId="51" applyNumberFormat="0" applyFont="1" applyFill="0" applyBorder="1" applyAlignment="1" applyProtection="0">
      <alignment horizontal="center" vertical="top" wrapText="1"/>
    </xf>
    <xf numFmtId="59" fontId="4" borderId="52" applyNumberFormat="1" applyFont="1" applyFill="0" applyBorder="1" applyAlignment="1" applyProtection="0">
      <alignment horizontal="center" vertical="top" wrapText="1"/>
    </xf>
    <xf numFmtId="3" fontId="4" borderId="53" applyNumberFormat="1" applyFont="1" applyFill="0" applyBorder="1" applyAlignment="1" applyProtection="0">
      <alignment horizontal="center" vertical="top" wrapText="1"/>
    </xf>
    <xf numFmtId="59" fontId="4" borderId="50" applyNumberFormat="1" applyFont="1" applyFill="0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3" fillId="3" borderId="54" applyNumberFormat="0" applyFont="1" applyFill="1" applyBorder="1" applyAlignment="1" applyProtection="0">
      <alignment vertical="top" wrapText="1"/>
    </xf>
    <xf numFmtId="0" fontId="3" fillId="7" borderId="55" applyNumberFormat="0" applyFont="1" applyFill="1" applyBorder="1" applyAlignment="1" applyProtection="0">
      <alignment vertical="top" wrapText="1"/>
    </xf>
    <xf numFmtId="0" fontId="0" borderId="56" applyNumberFormat="1" applyFont="1" applyFill="0" applyBorder="1" applyAlignment="1" applyProtection="0">
      <alignment vertical="top" wrapText="1"/>
    </xf>
    <xf numFmtId="0" fontId="0" borderId="57" applyNumberFormat="0" applyFont="1" applyFill="0" applyBorder="1" applyAlignment="1" applyProtection="0">
      <alignment vertical="top" wrapText="1"/>
    </xf>
    <xf numFmtId="0" fontId="3" fillId="7" borderId="58" applyNumberFormat="0" applyFont="1" applyFill="1" applyBorder="1" applyAlignment="1" applyProtection="0">
      <alignment vertical="top" wrapText="1"/>
    </xf>
    <xf numFmtId="0" fontId="0" borderId="59" applyNumberFormat="1" applyFont="1" applyFill="0" applyBorder="1" applyAlignment="1" applyProtection="0">
      <alignment vertical="top" wrapText="1"/>
    </xf>
    <xf numFmtId="0" fontId="0" borderId="60" applyNumberFormat="0" applyFont="1" applyFill="0" applyBorder="1" applyAlignment="1" applyProtection="0">
      <alignment vertical="top" wrapText="1"/>
    </xf>
    <xf numFmtId="0" fontId="0" borderId="5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94ca"/>
      <rgbColor rgb="ffd31876"/>
      <rgbColor rgb="ffa5a5a5"/>
      <rgbColor rgb="ffbdc0bf"/>
      <rgbColor rgb="fffefffe"/>
      <rgbColor rgb="ff56c1fe"/>
      <rgbColor rgb="ff3f3f3f"/>
      <rgbColor rgb="ffff42a1"/>
      <rgbColor rgb="ffcf95c9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4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1" width="75.875" style="1" customWidth="1"/>
    <col min="2" max="5" width="16.3516" style="1" customWidth="1"/>
    <col min="6" max="16384" width="16.3516" style="1" customWidth="1"/>
  </cols>
  <sheetData>
    <row r="1" ht="19" customHeight="1">
      <c r="A1" t="s" s="2">
        <v>0</v>
      </c>
      <c r="B1" s="3"/>
      <c r="C1" s="4"/>
      <c r="D1" s="5"/>
      <c r="E1" s="6"/>
    </row>
    <row r="2" ht="19" customHeight="1">
      <c r="A2" t="str" s="7" cm="1">
        <f t="array" ref="A2">$A9</f>
        <v>Producción General Evento </v>
      </c>
      <c r="B2" s="8" cm="1">
        <f t="array" ref="B2">E9</f>
        <v>0</v>
      </c>
      <c r="C2" s="9"/>
      <c r="D2" t="s" s="10">
        <v>2</v>
      </c>
      <c r="E2" s="11" cm="1">
        <f t="array" ref="E2">500000*3</f>
        <v>1500000</v>
      </c>
    </row>
    <row r="3" ht="29.5" customHeight="1">
      <c r="A3" t="str" s="12" cm="1">
        <f t="array" ref="A3">$A29</f>
        <v>CDMX Sur - Bel Air 21 mayo </v>
      </c>
      <c r="B3" s="13" cm="1">
        <f t="array" ref="B3">E29</f>
        <v>150000</v>
      </c>
      <c r="C3" s="14"/>
      <c r="D3" t="s" s="15">
        <v>4</v>
      </c>
      <c r="E3" s="16" cm="1">
        <f t="array" ref="E3">E2/3</f>
        <v>500000</v>
      </c>
    </row>
    <row r="4" ht="19" customHeight="1">
      <c r="A4" t="str" s="12" cm="1">
        <f t="array" ref="A4">$A46</f>
        <v>CDMX - EDO MEX NORTE - Fiesta Americana Satelite 28 mayo </v>
      </c>
      <c r="B4" s="13" cm="1">
        <f t="array" ref="B4">E46</f>
        <v>156000</v>
      </c>
      <c r="C4" s="17"/>
      <c r="D4" s="18"/>
      <c r="E4" s="19"/>
    </row>
    <row r="5" ht="19" customHeight="1">
      <c r="A5" t="str" s="20" cm="1">
        <f t="array" ref="A5">$A63</f>
        <v>Guadalajara - Fiesta Americana Minerva 4 junio </v>
      </c>
      <c r="B5" s="21" cm="1">
        <f t="array" ref="B5">E63</f>
        <v>193000</v>
      </c>
      <c r="C5" s="17"/>
      <c r="D5" s="22"/>
      <c r="E5" s="23"/>
    </row>
    <row r="6" ht="19" customHeight="1">
      <c r="A6" t="s" s="24">
        <v>7</v>
      </c>
      <c r="B6" s="25" cm="1">
        <f t="array" ref="B6">B2+B3+B4+B5</f>
        <v>499000</v>
      </c>
      <c r="C6" s="17"/>
      <c r="D6" s="26"/>
      <c r="E6" s="27"/>
    </row>
    <row r="7" ht="12" customHeight="1">
      <c r="A7" s="28"/>
      <c r="B7" s="29"/>
      <c r="C7" s="30"/>
      <c r="D7" s="31"/>
      <c r="E7" s="32"/>
    </row>
    <row r="8" ht="12" customHeight="1">
      <c r="A8" s="33"/>
      <c r="B8" s="34"/>
      <c r="C8" s="35"/>
      <c r="D8" s="36"/>
      <c r="E8" s="37"/>
    </row>
    <row r="9" ht="17" customHeight="1">
      <c r="A9" t="s" s="38">
        <v>8</v>
      </c>
      <c r="B9" s="39"/>
      <c r="C9" s="40"/>
      <c r="D9" s="41"/>
      <c r="E9" s="42" cm="1">
        <f t="array" ref="E9">E10+E15+E25</f>
        <v>0</v>
      </c>
    </row>
    <row r="10" ht="12" customHeight="1">
      <c r="A10" t="s" s="43">
        <v>9</v>
      </c>
      <c r="B10" t="s" s="44">
        <v>10</v>
      </c>
      <c r="C10" t="s" s="45">
        <v>11</v>
      </c>
      <c r="D10" t="s" s="46">
        <v>12</v>
      </c>
      <c r="E10" s="47" cm="1">
        <f t="array" ref="E10">E11+E12+E13</f>
        <v>0</v>
      </c>
    </row>
    <row r="11" ht="12" customHeight="1">
      <c r="A11" t="s" s="48">
        <v>13</v>
      </c>
      <c r="B11" s="49">
        <v>0</v>
      </c>
      <c r="C11" s="50">
        <v>0</v>
      </c>
      <c r="D11" s="51">
        <v>0</v>
      </c>
      <c r="E11" s="52" cm="1">
        <f t="array" ref="E11">B11*C11*D11</f>
        <v>0</v>
      </c>
    </row>
    <row r="12" ht="22" customHeight="1">
      <c r="A12" t="s" s="53">
        <v>14</v>
      </c>
      <c r="B12" s="49">
        <v>0</v>
      </c>
      <c r="C12" s="50">
        <v>0</v>
      </c>
      <c r="D12" s="51">
        <v>0</v>
      </c>
      <c r="E12" s="52" cm="1">
        <f t="array" ref="E12">B12*C12*D12</f>
        <v>0</v>
      </c>
    </row>
    <row r="13" ht="12" customHeight="1">
      <c r="A13" t="s" s="48">
        <v>15</v>
      </c>
      <c r="B13" s="49">
        <v>0</v>
      </c>
      <c r="C13" s="50">
        <v>0</v>
      </c>
      <c r="D13" s="51">
        <v>0</v>
      </c>
      <c r="E13" s="52" cm="1">
        <f t="array" ref="E13">B13*C13*D13</f>
        <v>0</v>
      </c>
    </row>
    <row r="14" ht="12" customHeight="1">
      <c r="A14" t="s" s="48">
        <v>16</v>
      </c>
      <c r="B14" s="49">
        <v>0</v>
      </c>
      <c r="C14" s="50">
        <v>0</v>
      </c>
      <c r="D14" s="51">
        <v>0</v>
      </c>
      <c r="E14" s="52" cm="1">
        <f t="array" ref="E14">B14*C14*D14</f>
        <v>0</v>
      </c>
    </row>
    <row r="15" ht="12" customHeight="1">
      <c r="A15" t="s" s="43">
        <v>17</v>
      </c>
      <c r="B15" s="54"/>
      <c r="C15" s="55"/>
      <c r="D15" s="56"/>
      <c r="E15" s="47" cm="1">
        <f t="array" ref="E15">SUM(E16:E24)</f>
        <v>0</v>
      </c>
    </row>
    <row r="16" ht="12" customHeight="1">
      <c r="A16" s="57"/>
      <c r="B16" s="49">
        <v>1</v>
      </c>
      <c r="C16" s="50">
        <v>0</v>
      </c>
      <c r="D16" s="51">
        <v>0</v>
      </c>
      <c r="E16" s="52" cm="1">
        <f t="array" ref="E16">B16*C16*D16</f>
        <v>0</v>
      </c>
    </row>
    <row r="17" ht="12" customHeight="1">
      <c r="A17" s="57"/>
      <c r="B17" s="49">
        <v>0</v>
      </c>
      <c r="C17" s="50">
        <v>0</v>
      </c>
      <c r="D17" s="51">
        <v>0</v>
      </c>
      <c r="E17" s="52" cm="1">
        <f t="array" ref="E17">B17*C17*D17</f>
        <v>0</v>
      </c>
    </row>
    <row r="18" ht="12" customHeight="1">
      <c r="A18" s="57"/>
      <c r="B18" s="49">
        <v>0</v>
      </c>
      <c r="C18" s="50">
        <v>0</v>
      </c>
      <c r="D18" s="51">
        <v>0</v>
      </c>
      <c r="E18" s="52" cm="1">
        <f t="array" ref="E18">B18*C18*D18</f>
        <v>0</v>
      </c>
    </row>
    <row r="19" ht="12" customHeight="1">
      <c r="A19" s="57"/>
      <c r="B19" s="49">
        <v>0</v>
      </c>
      <c r="C19" s="50">
        <v>0</v>
      </c>
      <c r="D19" s="51">
        <v>0</v>
      </c>
      <c r="E19" s="52" cm="1">
        <f t="array" ref="E19">B19*C19*D19</f>
        <v>0</v>
      </c>
    </row>
    <row r="20" ht="12" customHeight="1">
      <c r="A20" s="57"/>
      <c r="B20" s="49">
        <v>0</v>
      </c>
      <c r="C20" s="50">
        <v>0</v>
      </c>
      <c r="D20" s="51">
        <v>0</v>
      </c>
      <c r="E20" s="52" cm="1">
        <f t="array" ref="E20">B20*C20*D20</f>
        <v>0</v>
      </c>
    </row>
    <row r="21" ht="12" customHeight="1">
      <c r="A21" s="57"/>
      <c r="B21" s="49">
        <v>0</v>
      </c>
      <c r="C21" s="50">
        <v>0</v>
      </c>
      <c r="D21" s="51">
        <v>0</v>
      </c>
      <c r="E21" s="52" cm="1">
        <f t="array" ref="E21">B21*C21*D21</f>
        <v>0</v>
      </c>
    </row>
    <row r="22" ht="12" customHeight="1">
      <c r="A22" s="57"/>
      <c r="B22" s="49">
        <v>0</v>
      </c>
      <c r="C22" s="50">
        <v>0</v>
      </c>
      <c r="D22" s="51">
        <v>0</v>
      </c>
      <c r="E22" s="52" cm="1">
        <f t="array" ref="E22">B22*C22*D22</f>
        <v>0</v>
      </c>
    </row>
    <row r="23" ht="12" customHeight="1">
      <c r="A23" s="57"/>
      <c r="B23" s="49">
        <v>0</v>
      </c>
      <c r="C23" s="50">
        <v>0</v>
      </c>
      <c r="D23" s="51">
        <v>0</v>
      </c>
      <c r="E23" s="52" cm="1">
        <f t="array" ref="E23">B23*C23*D23</f>
        <v>0</v>
      </c>
    </row>
    <row r="24" ht="12" customHeight="1">
      <c r="A24" s="57"/>
      <c r="B24" s="49">
        <v>0</v>
      </c>
      <c r="C24" s="50">
        <v>0</v>
      </c>
      <c r="D24" s="51">
        <v>0</v>
      </c>
      <c r="E24" s="52" cm="1">
        <f t="array" ref="E24">B24*C24*D24</f>
        <v>0</v>
      </c>
    </row>
    <row r="25" ht="12" customHeight="1">
      <c r="A25" t="s" s="43">
        <v>18</v>
      </c>
      <c r="B25" s="54"/>
      <c r="C25" s="55"/>
      <c r="D25" s="56"/>
      <c r="E25" s="47" cm="1">
        <f t="array" ref="E25">E26+E27</f>
        <v>0</v>
      </c>
    </row>
    <row r="26" ht="12" customHeight="1">
      <c r="A26" t="s" s="58">
        <v>19</v>
      </c>
      <c r="B26" s="49">
        <v>0</v>
      </c>
      <c r="C26" s="50">
        <v>0</v>
      </c>
      <c r="D26" s="51">
        <v>0</v>
      </c>
      <c r="E26" s="52" cm="1">
        <f t="array" ref="E26">B26*C26*D26</f>
        <v>0</v>
      </c>
    </row>
    <row r="27" ht="12" customHeight="1">
      <c r="A27" s="59"/>
      <c r="B27" s="60"/>
      <c r="C27" s="61"/>
      <c r="D27" s="62"/>
      <c r="E27" s="63"/>
    </row>
    <row r="28" ht="12" customHeight="1">
      <c r="A28" s="64"/>
      <c r="B28" s="65"/>
      <c r="C28" s="66"/>
      <c r="D28" s="67"/>
      <c r="E28" s="66"/>
    </row>
    <row r="29" ht="23.6" customHeight="1">
      <c r="A29" t="s" s="38">
        <v>20</v>
      </c>
      <c r="B29" s="68"/>
      <c r="C29" s="40"/>
      <c r="D29" s="69"/>
      <c r="E29" s="42" cm="1">
        <f t="array" ref="E29">E30+E34+E38+E42</f>
        <v>150000</v>
      </c>
    </row>
    <row r="30" ht="12" customHeight="1">
      <c r="A30" t="s" s="43">
        <v>21</v>
      </c>
      <c r="B30" s="54"/>
      <c r="C30" s="55"/>
      <c r="D30" s="56"/>
      <c r="E30" s="47" cm="1">
        <f t="array" ref="E30">SUM(E31:E33)</f>
        <v>130000</v>
      </c>
    </row>
    <row r="31" ht="12" customHeight="1">
      <c r="A31" t="s" s="58">
        <v>22</v>
      </c>
      <c r="B31" s="49">
        <v>0</v>
      </c>
      <c r="C31" s="50">
        <v>0</v>
      </c>
      <c r="D31" s="51">
        <v>0</v>
      </c>
      <c r="E31" s="52" cm="1">
        <f t="array" ref="E31">B31*C31*D31</f>
        <v>0</v>
      </c>
    </row>
    <row r="32" ht="32" customHeight="1">
      <c r="A32" t="s" s="70">
        <v>23</v>
      </c>
      <c r="B32" s="49">
        <v>100</v>
      </c>
      <c r="C32" s="50">
        <v>1140</v>
      </c>
      <c r="D32" s="51">
        <v>1</v>
      </c>
      <c r="E32" s="52" cm="1">
        <f t="array" ref="E32">B32*C32*D32</f>
        <v>114000</v>
      </c>
    </row>
    <row r="33" ht="12" customHeight="1">
      <c r="A33" t="s" s="58">
        <v>24</v>
      </c>
      <c r="B33" s="49">
        <v>100</v>
      </c>
      <c r="C33" s="50">
        <v>160</v>
      </c>
      <c r="D33" s="51">
        <v>1</v>
      </c>
      <c r="E33" s="52" cm="1">
        <f t="array" ref="E33">B33*C33*D33</f>
        <v>16000</v>
      </c>
    </row>
    <row r="34" ht="12" customHeight="1">
      <c r="A34" t="s" s="43">
        <v>25</v>
      </c>
      <c r="B34" s="54"/>
      <c r="C34" s="55"/>
      <c r="D34" s="56"/>
      <c r="E34" s="47" cm="1">
        <f t="array" ref="E34">SUM(E35:E37)</f>
        <v>0</v>
      </c>
    </row>
    <row r="35" ht="22" customHeight="1">
      <c r="A35" t="s" s="70">
        <v>26</v>
      </c>
      <c r="B35" s="49">
        <v>0</v>
      </c>
      <c r="C35" s="50">
        <v>0</v>
      </c>
      <c r="D35" s="51">
        <v>0</v>
      </c>
      <c r="E35" s="52" cm="1">
        <f t="array" ref="E35">B35*C35*D35</f>
        <v>0</v>
      </c>
    </row>
    <row r="36" ht="12" customHeight="1">
      <c r="A36" t="s" s="48">
        <v>27</v>
      </c>
      <c r="B36" s="49">
        <v>0</v>
      </c>
      <c r="C36" s="50">
        <v>0</v>
      </c>
      <c r="D36" s="51">
        <v>0</v>
      </c>
      <c r="E36" s="52" cm="1">
        <f t="array" ref="E36">B36*C36*D36</f>
        <v>0</v>
      </c>
    </row>
    <row r="37" ht="12" customHeight="1">
      <c r="A37" t="s" s="48">
        <v>28</v>
      </c>
      <c r="B37" s="49">
        <v>0</v>
      </c>
      <c r="C37" s="50">
        <v>0</v>
      </c>
      <c r="D37" s="51">
        <v>0</v>
      </c>
      <c r="E37" s="52" cm="1">
        <f t="array" ref="E37">B37*C37*D37</f>
        <v>0</v>
      </c>
    </row>
    <row r="38" ht="12" customHeight="1">
      <c r="A38" t="s" s="43">
        <v>29</v>
      </c>
      <c r="B38" s="54"/>
      <c r="C38" s="55"/>
      <c r="D38" s="56"/>
      <c r="E38" s="47" cm="1">
        <f t="array" ref="E38">SUM(E39:E41)</f>
        <v>0</v>
      </c>
    </row>
    <row r="39" ht="12" customHeight="1">
      <c r="A39" t="s" s="70">
        <v>26</v>
      </c>
      <c r="B39" s="49">
        <v>0</v>
      </c>
      <c r="C39" s="50">
        <v>0</v>
      </c>
      <c r="D39" s="51">
        <v>0</v>
      </c>
      <c r="E39" s="52" cm="1">
        <f t="array" ref="E39">B39*C39*D39</f>
        <v>0</v>
      </c>
    </row>
    <row r="40" ht="12" customHeight="1">
      <c r="A40" t="s" s="48">
        <v>27</v>
      </c>
      <c r="B40" s="49">
        <v>0</v>
      </c>
      <c r="C40" s="50">
        <v>0</v>
      </c>
      <c r="D40" s="51">
        <v>0</v>
      </c>
      <c r="E40" s="52" cm="1">
        <f t="array" ref="E40">B40*C40*D40</f>
        <v>0</v>
      </c>
    </row>
    <row r="41" ht="12" customHeight="1">
      <c r="A41" t="s" s="48">
        <v>28</v>
      </c>
      <c r="B41" s="49">
        <v>0</v>
      </c>
      <c r="C41" s="50">
        <v>0</v>
      </c>
      <c r="D41" s="51">
        <v>0</v>
      </c>
      <c r="E41" s="52" cm="1">
        <f t="array" ref="E41">B41*C41*D41</f>
        <v>0</v>
      </c>
    </row>
    <row r="42" ht="12" customHeight="1">
      <c r="A42" t="s" s="43">
        <v>30</v>
      </c>
      <c r="B42" s="54"/>
      <c r="C42" s="55"/>
      <c r="D42" s="56"/>
      <c r="E42" s="47" cm="1">
        <f t="array" ref="E42">SUM(E43:E44)</f>
        <v>20000</v>
      </c>
    </row>
    <row r="43" ht="12" customHeight="1">
      <c r="A43" t="s" s="48">
        <v>31</v>
      </c>
      <c r="B43" s="49">
        <v>2</v>
      </c>
      <c r="C43" s="50">
        <v>5000</v>
      </c>
      <c r="D43" s="51">
        <v>1</v>
      </c>
      <c r="E43" s="52" cm="1">
        <f t="array" ref="E43">B43*C43*D43</f>
        <v>10000</v>
      </c>
    </row>
    <row r="44" ht="12" customHeight="1">
      <c r="A44" t="s" s="71">
        <v>32</v>
      </c>
      <c r="B44" s="72">
        <v>1</v>
      </c>
      <c r="C44" s="61">
        <v>10000</v>
      </c>
      <c r="D44" s="62">
        <v>1</v>
      </c>
      <c r="E44" s="63" cm="1">
        <f t="array" ref="E44">B44*C44*D44</f>
        <v>10000</v>
      </c>
    </row>
    <row r="45" ht="12" customHeight="1">
      <c r="A45" s="73"/>
      <c r="B45" s="74"/>
      <c r="C45" s="75"/>
      <c r="D45" s="76"/>
      <c r="E45" s="77"/>
    </row>
    <row r="46" ht="31.5" customHeight="1">
      <c r="A46" t="s" s="38">
        <v>33</v>
      </c>
      <c r="B46" s="68"/>
      <c r="C46" s="40"/>
      <c r="D46" s="69"/>
      <c r="E46" s="42" cm="1">
        <f t="array" ref="E46">E47+E51+E55+E59</f>
        <v>156000</v>
      </c>
    </row>
    <row r="47" ht="12" customHeight="1">
      <c r="A47" t="s" s="43">
        <v>21</v>
      </c>
      <c r="B47" s="54"/>
      <c r="C47" s="55"/>
      <c r="D47" s="56"/>
      <c r="E47" s="47" cm="1">
        <f t="array" ref="E47">SUM(E48:E50)</f>
        <v>136000</v>
      </c>
    </row>
    <row r="48" ht="12" customHeight="1">
      <c r="A48" t="s" s="58">
        <v>22</v>
      </c>
      <c r="B48" s="49">
        <v>0</v>
      </c>
      <c r="C48" s="50">
        <v>0</v>
      </c>
      <c r="D48" s="51">
        <v>0</v>
      </c>
      <c r="E48" s="52" cm="1">
        <f t="array" ref="E48">B48*C48*D48</f>
        <v>0</v>
      </c>
    </row>
    <row r="49" ht="22" customHeight="1">
      <c r="A49" t="s" s="70">
        <v>23</v>
      </c>
      <c r="B49" s="49">
        <v>100</v>
      </c>
      <c r="C49" s="50">
        <v>1260</v>
      </c>
      <c r="D49" s="51">
        <v>1</v>
      </c>
      <c r="E49" s="52" cm="1">
        <f t="array" ref="E49">B49*C49*D49</f>
        <v>126000</v>
      </c>
    </row>
    <row r="50" ht="12" customHeight="1">
      <c r="A50" t="s" s="58">
        <v>24</v>
      </c>
      <c r="B50" s="49">
        <v>100</v>
      </c>
      <c r="C50" s="50">
        <v>100</v>
      </c>
      <c r="D50" s="51">
        <v>1</v>
      </c>
      <c r="E50" s="52" cm="1">
        <f t="array" ref="E50">B50*C50*D50</f>
        <v>10000</v>
      </c>
    </row>
    <row r="51" ht="12" customHeight="1">
      <c r="A51" t="s" s="43">
        <v>25</v>
      </c>
      <c r="B51" s="54"/>
      <c r="C51" s="55"/>
      <c r="D51" s="56"/>
      <c r="E51" s="47" cm="1">
        <f t="array" ref="E51">SUM(E52:E54)</f>
        <v>0</v>
      </c>
    </row>
    <row r="52" ht="12" customHeight="1">
      <c r="A52" t="s" s="70">
        <v>26</v>
      </c>
      <c r="B52" s="49">
        <v>0</v>
      </c>
      <c r="C52" s="50">
        <v>0</v>
      </c>
      <c r="D52" s="51">
        <v>0</v>
      </c>
      <c r="E52" s="52" cm="1">
        <f t="array" ref="E52">B52*C52*D52</f>
        <v>0</v>
      </c>
    </row>
    <row r="53" ht="12" customHeight="1">
      <c r="A53" t="s" s="48">
        <v>27</v>
      </c>
      <c r="B53" s="49">
        <v>0</v>
      </c>
      <c r="C53" s="50">
        <v>0</v>
      </c>
      <c r="D53" s="51">
        <v>0</v>
      </c>
      <c r="E53" s="52" cm="1">
        <f t="array" ref="E53">B53*C53*D53</f>
        <v>0</v>
      </c>
    </row>
    <row r="54" ht="12" customHeight="1">
      <c r="A54" t="s" s="48">
        <v>28</v>
      </c>
      <c r="B54" s="49">
        <v>0</v>
      </c>
      <c r="C54" s="50">
        <v>0</v>
      </c>
      <c r="D54" s="51">
        <v>0</v>
      </c>
      <c r="E54" s="52" cm="1">
        <f t="array" ref="E54">B54*C54*D54</f>
        <v>0</v>
      </c>
    </row>
    <row r="55" ht="12" customHeight="1">
      <c r="A55" t="s" s="43">
        <v>29</v>
      </c>
      <c r="B55" s="54"/>
      <c r="C55" s="55"/>
      <c r="D55" s="56"/>
      <c r="E55" s="47" cm="1">
        <f t="array" ref="E55">SUM(E56:E58)</f>
        <v>0</v>
      </c>
    </row>
    <row r="56" ht="12" customHeight="1">
      <c r="A56" t="s" s="70">
        <v>26</v>
      </c>
      <c r="B56" s="49">
        <v>0</v>
      </c>
      <c r="C56" s="50">
        <v>0</v>
      </c>
      <c r="D56" s="51">
        <v>0</v>
      </c>
      <c r="E56" s="52" cm="1">
        <f t="array" ref="E56">B56*C56*D56</f>
        <v>0</v>
      </c>
    </row>
    <row r="57" ht="12" customHeight="1">
      <c r="A57" t="s" s="48">
        <v>27</v>
      </c>
      <c r="B57" s="49">
        <v>0</v>
      </c>
      <c r="C57" s="50">
        <v>0</v>
      </c>
      <c r="D57" s="51">
        <v>0</v>
      </c>
      <c r="E57" s="52" cm="1">
        <f t="array" ref="E57">B57*C57*D57</f>
        <v>0</v>
      </c>
    </row>
    <row r="58" ht="12" customHeight="1">
      <c r="A58" t="s" s="48">
        <v>28</v>
      </c>
      <c r="B58" s="49">
        <v>0</v>
      </c>
      <c r="C58" s="50">
        <v>0</v>
      </c>
      <c r="D58" s="51">
        <v>0</v>
      </c>
      <c r="E58" s="52" cm="1">
        <f t="array" ref="E58">B58*C58*D58</f>
        <v>0</v>
      </c>
    </row>
    <row r="59" ht="12" customHeight="1">
      <c r="A59" t="s" s="43">
        <v>30</v>
      </c>
      <c r="B59" s="54"/>
      <c r="C59" s="55"/>
      <c r="D59" s="56"/>
      <c r="E59" s="47" cm="1">
        <f t="array" ref="E59">SUM(E60:E61)</f>
        <v>20000</v>
      </c>
    </row>
    <row r="60" ht="12" customHeight="1">
      <c r="A60" t="s" s="48">
        <v>31</v>
      </c>
      <c r="B60" s="49">
        <v>2</v>
      </c>
      <c r="C60" s="50">
        <v>5000</v>
      </c>
      <c r="D60" s="51">
        <v>1</v>
      </c>
      <c r="E60" s="52" cm="1">
        <f t="array" ref="E60">B60*C60*D60</f>
        <v>10000</v>
      </c>
    </row>
    <row r="61" ht="12" customHeight="1">
      <c r="A61" t="s" s="71">
        <v>32</v>
      </c>
      <c r="B61" s="72">
        <v>1</v>
      </c>
      <c r="C61" s="61">
        <v>10000</v>
      </c>
      <c r="D61" s="62">
        <v>1</v>
      </c>
      <c r="E61" s="63" cm="1">
        <f t="array" ref="E61">B61*C61*D61</f>
        <v>10000</v>
      </c>
    </row>
    <row r="62" ht="12" customHeight="1">
      <c r="A62" s="73"/>
      <c r="B62" s="74"/>
      <c r="C62" s="75"/>
      <c r="D62" s="76"/>
      <c r="E62" s="77"/>
    </row>
    <row r="63" ht="25.35" customHeight="1">
      <c r="A63" t="s" s="38">
        <v>34</v>
      </c>
      <c r="B63" s="68"/>
      <c r="C63" s="40"/>
      <c r="D63" s="69"/>
      <c r="E63" s="42" cm="1">
        <f t="array" ref="E63">E64+E68+E72+E76</f>
        <v>193000</v>
      </c>
    </row>
    <row r="64" ht="12" customHeight="1">
      <c r="A64" t="s" s="43">
        <v>21</v>
      </c>
      <c r="B64" s="54"/>
      <c r="C64" s="55"/>
      <c r="D64" s="56"/>
      <c r="E64" s="47" cm="1">
        <f t="array" ref="E64">SUM(E65:E67)</f>
        <v>143000</v>
      </c>
    </row>
    <row r="65" ht="12" customHeight="1">
      <c r="A65" t="s" s="58">
        <v>22</v>
      </c>
      <c r="B65" s="49">
        <v>0</v>
      </c>
      <c r="C65" s="50">
        <v>0</v>
      </c>
      <c r="D65" s="51">
        <v>0</v>
      </c>
      <c r="E65" s="52" cm="1">
        <f t="array" ref="E65">B65*C65*D65</f>
        <v>0</v>
      </c>
    </row>
    <row r="66" ht="22" customHeight="1">
      <c r="A66" t="s" s="70">
        <v>23</v>
      </c>
      <c r="B66" s="49">
        <v>100</v>
      </c>
      <c r="C66" s="50">
        <v>1300</v>
      </c>
      <c r="D66" s="51">
        <v>1</v>
      </c>
      <c r="E66" s="52" cm="1">
        <f t="array" ref="E66">B66*C66*D66</f>
        <v>130000</v>
      </c>
    </row>
    <row r="67" ht="12" customHeight="1">
      <c r="A67" t="s" s="58">
        <v>24</v>
      </c>
      <c r="B67" s="49">
        <v>100</v>
      </c>
      <c r="C67" s="50">
        <v>130</v>
      </c>
      <c r="D67" s="51">
        <v>1</v>
      </c>
      <c r="E67" s="52" cm="1">
        <f t="array" ref="E67">B67*C67*D67</f>
        <v>13000</v>
      </c>
    </row>
    <row r="68" ht="12" customHeight="1">
      <c r="A68" t="s" s="43">
        <v>25</v>
      </c>
      <c r="B68" s="54"/>
      <c r="C68" s="55"/>
      <c r="D68" s="56"/>
      <c r="E68" s="47" cm="1">
        <f t="array" ref="E68">SUM(E69:E71)</f>
        <v>0</v>
      </c>
    </row>
    <row r="69" ht="12" customHeight="1">
      <c r="A69" t="s" s="70">
        <v>26</v>
      </c>
      <c r="B69" s="49">
        <v>0</v>
      </c>
      <c r="C69" s="50">
        <v>0</v>
      </c>
      <c r="D69" s="51">
        <v>0</v>
      </c>
      <c r="E69" s="52" cm="1">
        <f t="array" ref="E69">B69*C69*D69</f>
        <v>0</v>
      </c>
    </row>
    <row r="70" ht="12" customHeight="1">
      <c r="A70" t="s" s="48">
        <v>27</v>
      </c>
      <c r="B70" s="49">
        <v>0</v>
      </c>
      <c r="C70" s="50">
        <v>0</v>
      </c>
      <c r="D70" s="51">
        <v>0</v>
      </c>
      <c r="E70" s="52" cm="1">
        <f t="array" ref="E70">B70*C70*D70</f>
        <v>0</v>
      </c>
    </row>
    <row r="71" ht="12" customHeight="1">
      <c r="A71" t="s" s="48">
        <v>28</v>
      </c>
      <c r="B71" s="49">
        <v>0</v>
      </c>
      <c r="C71" s="50">
        <v>0</v>
      </c>
      <c r="D71" s="51">
        <v>0</v>
      </c>
      <c r="E71" s="52" cm="1">
        <f t="array" ref="E71">B71*C71*D71</f>
        <v>0</v>
      </c>
    </row>
    <row r="72" ht="12" customHeight="1">
      <c r="A72" t="s" s="43">
        <v>29</v>
      </c>
      <c r="B72" s="54"/>
      <c r="C72" s="55"/>
      <c r="D72" s="56"/>
      <c r="E72" s="47" cm="1">
        <f t="array" ref="E72">SUM(E73:E75)</f>
        <v>0</v>
      </c>
    </row>
    <row r="73" ht="12" customHeight="1">
      <c r="A73" t="s" s="70">
        <v>26</v>
      </c>
      <c r="B73" s="49">
        <v>0</v>
      </c>
      <c r="C73" s="50">
        <v>0</v>
      </c>
      <c r="D73" s="51">
        <v>0</v>
      </c>
      <c r="E73" s="52" cm="1">
        <f t="array" ref="E73">B73*C73*D73</f>
        <v>0</v>
      </c>
    </row>
    <row r="74" ht="12" customHeight="1">
      <c r="A74" t="s" s="48">
        <v>27</v>
      </c>
      <c r="B74" s="49">
        <v>0</v>
      </c>
      <c r="C74" s="50">
        <v>0</v>
      </c>
      <c r="D74" s="51">
        <v>0</v>
      </c>
      <c r="E74" s="52" cm="1">
        <f t="array" ref="E74">B74*C74*D74</f>
        <v>0</v>
      </c>
    </row>
    <row r="75" ht="12" customHeight="1">
      <c r="A75" t="s" s="48">
        <v>28</v>
      </c>
      <c r="B75" s="49">
        <v>0</v>
      </c>
      <c r="C75" s="50">
        <v>0</v>
      </c>
      <c r="D75" s="51">
        <v>0</v>
      </c>
      <c r="E75" s="52" cm="1">
        <f t="array" ref="E75">B75*C75*D75</f>
        <v>0</v>
      </c>
    </row>
    <row r="76" ht="12" customHeight="1">
      <c r="A76" t="s" s="43">
        <v>30</v>
      </c>
      <c r="B76" s="54"/>
      <c r="C76" s="55"/>
      <c r="D76" s="56"/>
      <c r="E76" s="47" cm="1">
        <f t="array" ref="E76">SUM(E77:E78)</f>
        <v>50000</v>
      </c>
    </row>
    <row r="77" ht="12" customHeight="1">
      <c r="A77" t="s" s="48">
        <v>31</v>
      </c>
      <c r="B77" s="49">
        <v>2</v>
      </c>
      <c r="C77" s="50">
        <v>10000</v>
      </c>
      <c r="D77" s="51">
        <v>1</v>
      </c>
      <c r="E77" s="52" cm="1">
        <f t="array" ref="E77">B77*C77*D77</f>
        <v>20000</v>
      </c>
    </row>
    <row r="78" ht="12" customHeight="1">
      <c r="A78" t="s" s="71">
        <v>32</v>
      </c>
      <c r="B78" s="72">
        <v>1</v>
      </c>
      <c r="C78" s="61">
        <v>30000</v>
      </c>
      <c r="D78" s="62">
        <v>1</v>
      </c>
      <c r="E78" s="63" cm="1">
        <f t="array" ref="E78">B78*C78*D78</f>
        <v>30000</v>
      </c>
    </row>
    <row r="79" ht="12" customHeight="1">
      <c r="A79" s="78"/>
      <c r="B79" s="79"/>
      <c r="C79" s="80"/>
      <c r="D79" s="81"/>
      <c r="E79" s="82"/>
    </row>
    <row r="80" ht="12" customHeight="1">
      <c r="A80" s="83"/>
      <c r="B80" s="84"/>
      <c r="C80" s="85"/>
      <c r="D80" s="86"/>
      <c r="E80" s="87"/>
    </row>
    <row r="81" ht="12" customHeight="1">
      <c r="A81" s="83"/>
      <c r="B81" s="84"/>
      <c r="C81" s="85"/>
      <c r="D81" s="86"/>
      <c r="E81" s="87"/>
    </row>
    <row r="82" ht="12" customHeight="1">
      <c r="A82" s="83"/>
      <c r="B82" s="84"/>
      <c r="C82" s="85"/>
      <c r="D82" s="86"/>
      <c r="E82" s="87"/>
    </row>
    <row r="83" ht="12" customHeight="1">
      <c r="A83" s="83"/>
      <c r="B83" s="84"/>
      <c r="C83" s="85"/>
      <c r="D83" s="86"/>
      <c r="E83" s="87"/>
    </row>
    <row r="84" ht="12" customHeight="1">
      <c r="A84" s="83"/>
      <c r="B84" s="84"/>
      <c r="C84" s="85"/>
      <c r="D84" s="86"/>
      <c r="E84" s="87"/>
    </row>
    <row r="85" ht="12" customHeight="1">
      <c r="A85" s="83"/>
      <c r="B85" s="84"/>
      <c r="C85" s="85"/>
      <c r="D85" s="86"/>
      <c r="E85" s="87"/>
    </row>
    <row r="86" ht="12" customHeight="1">
      <c r="A86" s="83"/>
      <c r="B86" s="84"/>
      <c r="C86" s="85"/>
      <c r="D86" s="86"/>
      <c r="E86" s="87"/>
    </row>
    <row r="87" ht="12" customHeight="1">
      <c r="A87" s="83"/>
      <c r="B87" s="84"/>
      <c r="C87" s="85"/>
      <c r="D87" s="86"/>
      <c r="E87" s="87"/>
    </row>
    <row r="88" ht="12" customHeight="1">
      <c r="A88" s="83"/>
      <c r="B88" s="84"/>
      <c r="C88" s="85"/>
      <c r="D88" s="86"/>
      <c r="E88" s="87"/>
    </row>
    <row r="89" ht="12" customHeight="1">
      <c r="A89" s="83"/>
      <c r="B89" s="84"/>
      <c r="C89" s="85"/>
      <c r="D89" s="86"/>
      <c r="E89" s="87"/>
    </row>
    <row r="90" ht="12" customHeight="1">
      <c r="A90" s="83"/>
      <c r="B90" s="84"/>
      <c r="C90" s="85"/>
      <c r="D90" s="86"/>
      <c r="E90" s="87"/>
    </row>
    <row r="91" ht="12" customHeight="1">
      <c r="A91" s="83"/>
      <c r="B91" s="84"/>
      <c r="C91" s="85"/>
      <c r="D91" s="86"/>
      <c r="E91" s="87"/>
    </row>
    <row r="92" ht="12" customHeight="1">
      <c r="A92" s="83"/>
      <c r="B92" s="84"/>
      <c r="C92" s="85"/>
      <c r="D92" s="86"/>
      <c r="E92" s="87"/>
    </row>
    <row r="93" ht="12" customHeight="1">
      <c r="A93" s="83"/>
      <c r="B93" s="84"/>
      <c r="C93" s="85"/>
      <c r="D93" s="86"/>
      <c r="E93" s="87"/>
    </row>
    <row r="94" ht="12" customHeight="1">
      <c r="A94" s="83"/>
      <c r="B94" s="84"/>
      <c r="C94" s="85"/>
      <c r="D94" s="86"/>
      <c r="E94" s="87"/>
    </row>
    <row r="95" ht="12" customHeight="1">
      <c r="A95" s="83"/>
      <c r="B95" s="84"/>
      <c r="C95" s="85"/>
      <c r="D95" s="86"/>
      <c r="E95" s="87"/>
    </row>
    <row r="96" ht="12" customHeight="1">
      <c r="A96" s="83"/>
      <c r="B96" s="84"/>
      <c r="C96" s="85"/>
      <c r="D96" s="86"/>
      <c r="E96" s="87"/>
    </row>
    <row r="97" ht="12" customHeight="1">
      <c r="A97" s="83"/>
      <c r="B97" s="84"/>
      <c r="C97" s="85"/>
      <c r="D97" s="86"/>
      <c r="E97" s="87"/>
    </row>
    <row r="98" ht="12" customHeight="1">
      <c r="A98" s="83"/>
      <c r="B98" s="84"/>
      <c r="C98" s="85"/>
      <c r="D98" s="86"/>
      <c r="E98" s="87"/>
    </row>
    <row r="99" ht="12" customHeight="1">
      <c r="A99" s="83"/>
      <c r="B99" s="84"/>
      <c r="C99" s="85"/>
      <c r="D99" s="86"/>
      <c r="E99" s="87"/>
    </row>
    <row r="100" ht="12" customHeight="1">
      <c r="A100" s="83"/>
      <c r="B100" s="84"/>
      <c r="C100" s="85"/>
      <c r="D100" s="86"/>
      <c r="E100" s="87"/>
    </row>
    <row r="101" ht="12" customHeight="1">
      <c r="A101" s="83"/>
      <c r="B101" s="84"/>
      <c r="C101" s="85"/>
      <c r="D101" s="86"/>
      <c r="E101" s="87"/>
    </row>
    <row r="102" ht="12" customHeight="1">
      <c r="A102" s="83"/>
      <c r="B102" s="84"/>
      <c r="C102" s="85"/>
      <c r="D102" s="86"/>
      <c r="E102" s="87"/>
    </row>
    <row r="103" ht="12" customHeight="1">
      <c r="A103" s="83"/>
      <c r="B103" s="84"/>
      <c r="C103" s="85"/>
      <c r="D103" s="86"/>
      <c r="E103" s="87"/>
    </row>
    <row r="104" ht="12" customHeight="1">
      <c r="A104" s="83"/>
      <c r="B104" s="84"/>
      <c r="C104" s="85"/>
      <c r="D104" s="86"/>
      <c r="E104" s="87"/>
    </row>
    <row r="105" ht="12" customHeight="1">
      <c r="A105" s="83"/>
      <c r="B105" s="84"/>
      <c r="C105" s="85"/>
      <c r="D105" s="86"/>
      <c r="E105" s="87"/>
    </row>
    <row r="106" ht="12" customHeight="1">
      <c r="A106" s="83"/>
      <c r="B106" s="84"/>
      <c r="C106" s="85"/>
      <c r="D106" s="86"/>
      <c r="E106" s="87"/>
    </row>
    <row r="107" ht="12" customHeight="1">
      <c r="A107" s="83"/>
      <c r="B107" s="84"/>
      <c r="C107" s="85"/>
      <c r="D107" s="86"/>
      <c r="E107" s="87"/>
    </row>
    <row r="108" ht="12" customHeight="1">
      <c r="A108" s="83"/>
      <c r="B108" s="84"/>
      <c r="C108" s="85"/>
      <c r="D108" s="86"/>
      <c r="E108" s="87"/>
    </row>
    <row r="109" ht="12" customHeight="1">
      <c r="A109" s="83"/>
      <c r="B109" s="84"/>
      <c r="C109" s="85"/>
      <c r="D109" s="86"/>
      <c r="E109" s="87"/>
    </row>
    <row r="110" ht="12" customHeight="1">
      <c r="A110" s="83"/>
      <c r="B110" s="84"/>
      <c r="C110" s="85"/>
      <c r="D110" s="86"/>
      <c r="E110" s="87"/>
    </row>
    <row r="111" ht="12" customHeight="1">
      <c r="A111" s="83"/>
      <c r="B111" s="84"/>
      <c r="C111" s="85"/>
      <c r="D111" s="86"/>
      <c r="E111" s="87"/>
    </row>
    <row r="112" ht="12" customHeight="1">
      <c r="A112" s="83"/>
      <c r="B112" s="84"/>
      <c r="C112" s="85"/>
      <c r="D112" s="86"/>
      <c r="E112" s="87"/>
    </row>
    <row r="113" ht="12" customHeight="1">
      <c r="A113" s="83"/>
      <c r="B113" s="84"/>
      <c r="C113" s="85"/>
      <c r="D113" s="86"/>
      <c r="E113" s="87"/>
    </row>
    <row r="114" ht="12" customHeight="1">
      <c r="A114" s="83"/>
      <c r="B114" s="84"/>
      <c r="C114" s="85"/>
      <c r="D114" s="86"/>
      <c r="E114" s="87"/>
    </row>
    <row r="115" ht="12" customHeight="1">
      <c r="A115" s="83"/>
      <c r="B115" s="84"/>
      <c r="C115" s="85"/>
      <c r="D115" s="86"/>
      <c r="E115" s="87"/>
    </row>
    <row r="116" ht="12" customHeight="1">
      <c r="A116" s="83"/>
      <c r="B116" s="84"/>
      <c r="C116" s="85"/>
      <c r="D116" s="86"/>
      <c r="E116" s="87"/>
    </row>
    <row r="117" ht="12" customHeight="1">
      <c r="A117" s="83"/>
      <c r="B117" s="84"/>
      <c r="C117" s="85"/>
      <c r="D117" s="86"/>
      <c r="E117" s="87"/>
    </row>
    <row r="118" ht="12" customHeight="1">
      <c r="A118" s="83"/>
      <c r="B118" s="84"/>
      <c r="C118" s="85"/>
      <c r="D118" s="86"/>
      <c r="E118" s="87"/>
    </row>
    <row r="119" ht="12" customHeight="1">
      <c r="A119" s="83"/>
      <c r="B119" s="84"/>
      <c r="C119" s="85"/>
      <c r="D119" s="86"/>
      <c r="E119" s="87"/>
    </row>
    <row r="120" ht="12" customHeight="1">
      <c r="A120" s="83"/>
      <c r="B120" s="84"/>
      <c r="C120" s="85"/>
      <c r="D120" s="86"/>
      <c r="E120" s="87"/>
    </row>
    <row r="121" ht="12" customHeight="1">
      <c r="A121" s="83"/>
      <c r="B121" s="84"/>
      <c r="C121" s="85"/>
      <c r="D121" s="86"/>
      <c r="E121" s="87"/>
    </row>
    <row r="122" ht="12" customHeight="1">
      <c r="A122" s="83"/>
      <c r="B122" s="84"/>
      <c r="C122" s="85"/>
      <c r="D122" s="86"/>
      <c r="E122" s="87"/>
    </row>
    <row r="123" ht="12" customHeight="1">
      <c r="A123" s="83"/>
      <c r="B123" s="84"/>
      <c r="C123" s="85"/>
      <c r="D123" s="86"/>
      <c r="E123" s="87"/>
    </row>
    <row r="124" ht="12" customHeight="1">
      <c r="A124" s="83"/>
      <c r="B124" s="84"/>
      <c r="C124" s="85"/>
      <c r="D124" s="86"/>
      <c r="E124" s="87"/>
    </row>
    <row r="125" ht="12" customHeight="1">
      <c r="A125" s="83"/>
      <c r="B125" s="84"/>
      <c r="C125" s="85"/>
      <c r="D125" s="86"/>
      <c r="E125" s="87"/>
    </row>
    <row r="126" ht="12" customHeight="1">
      <c r="A126" s="83"/>
      <c r="B126" s="84"/>
      <c r="C126" s="85"/>
      <c r="D126" s="86"/>
      <c r="E126" s="87"/>
    </row>
    <row r="127" ht="12" customHeight="1">
      <c r="A127" s="83"/>
      <c r="B127" s="84"/>
      <c r="C127" s="85"/>
      <c r="D127" s="86"/>
      <c r="E127" s="87"/>
    </row>
    <row r="128" ht="12" customHeight="1">
      <c r="A128" s="83"/>
      <c r="B128" s="84"/>
      <c r="C128" s="85"/>
      <c r="D128" s="86"/>
      <c r="E128" s="87"/>
    </row>
    <row r="129" ht="12" customHeight="1">
      <c r="A129" s="83"/>
      <c r="B129" s="84"/>
      <c r="C129" s="85"/>
      <c r="D129" s="86"/>
      <c r="E129" s="87"/>
    </row>
    <row r="130" ht="12" customHeight="1">
      <c r="A130" s="83"/>
      <c r="B130" s="84"/>
      <c r="C130" s="85"/>
      <c r="D130" s="86"/>
      <c r="E130" s="87"/>
    </row>
    <row r="131" ht="12" customHeight="1">
      <c r="A131" s="83"/>
      <c r="B131" s="84"/>
      <c r="C131" s="85"/>
      <c r="D131" s="86"/>
      <c r="E131" s="87"/>
    </row>
    <row r="132" ht="12" customHeight="1">
      <c r="A132" s="83"/>
      <c r="B132" s="84"/>
      <c r="C132" s="85"/>
      <c r="D132" s="86"/>
      <c r="E132" s="87"/>
    </row>
    <row r="133" ht="12" customHeight="1">
      <c r="A133" s="83"/>
      <c r="B133" s="84"/>
      <c r="C133" s="85"/>
      <c r="D133" s="86"/>
      <c r="E133" s="87"/>
    </row>
    <row r="134" ht="12" customHeight="1">
      <c r="A134" s="83"/>
      <c r="B134" s="84"/>
      <c r="C134" s="85"/>
      <c r="D134" s="86"/>
      <c r="E134" s="87"/>
    </row>
    <row r="135" ht="12" customHeight="1">
      <c r="A135" s="83"/>
      <c r="B135" s="84"/>
      <c r="C135" s="85"/>
      <c r="D135" s="86"/>
      <c r="E135" s="87"/>
    </row>
    <row r="136" ht="12" customHeight="1">
      <c r="A136" s="83"/>
      <c r="B136" s="84"/>
      <c r="C136" s="85"/>
      <c r="D136" s="86"/>
      <c r="E136" s="87"/>
    </row>
    <row r="137" ht="12" customHeight="1">
      <c r="A137" s="83"/>
      <c r="B137" s="84"/>
      <c r="C137" s="85"/>
      <c r="D137" s="86"/>
      <c r="E137" s="87"/>
    </row>
    <row r="138" ht="12" customHeight="1">
      <c r="A138" s="83"/>
      <c r="B138" s="84"/>
      <c r="C138" s="85"/>
      <c r="D138" s="86"/>
      <c r="E138" s="87"/>
    </row>
    <row r="139" ht="12" customHeight="1">
      <c r="A139" s="83"/>
      <c r="B139" s="84"/>
      <c r="C139" s="85"/>
      <c r="D139" s="86"/>
      <c r="E139" s="87"/>
    </row>
    <row r="140" ht="12" customHeight="1">
      <c r="A140" s="83"/>
      <c r="B140" s="84"/>
      <c r="C140" s="85"/>
      <c r="D140" s="86"/>
      <c r="E140" s="87"/>
    </row>
    <row r="141" ht="12" customHeight="1">
      <c r="A141" s="83"/>
      <c r="B141" s="84"/>
      <c r="C141" s="85"/>
      <c r="D141" s="86"/>
      <c r="E141" s="87"/>
    </row>
    <row r="142" ht="12" customHeight="1">
      <c r="A142" s="83"/>
      <c r="B142" s="84"/>
      <c r="C142" s="85"/>
      <c r="D142" s="86"/>
      <c r="E142" s="87"/>
    </row>
    <row r="143" ht="12" customHeight="1">
      <c r="A143" s="83"/>
      <c r="B143" s="84"/>
      <c r="C143" s="85"/>
      <c r="D143" s="86"/>
      <c r="E143" s="87"/>
    </row>
    <row r="144" ht="12" customHeight="1">
      <c r="A144" s="83"/>
      <c r="B144" s="84"/>
      <c r="C144" s="85"/>
      <c r="D144" s="86"/>
      <c r="E144" s="87"/>
    </row>
    <row r="145" ht="12" customHeight="1">
      <c r="A145" s="83"/>
      <c r="B145" s="84"/>
      <c r="C145" s="85"/>
      <c r="D145" s="86"/>
      <c r="E145" s="87"/>
    </row>
    <row r="146" ht="12" customHeight="1">
      <c r="A146" s="83"/>
      <c r="B146" s="84"/>
      <c r="C146" s="85"/>
      <c r="D146" s="86"/>
      <c r="E146" s="87"/>
    </row>
    <row r="147" ht="12" customHeight="1">
      <c r="A147" s="83"/>
      <c r="B147" s="84"/>
      <c r="C147" s="85"/>
      <c r="D147" s="86"/>
      <c r="E147" s="87"/>
    </row>
    <row r="148" ht="12" customHeight="1">
      <c r="A148" s="83"/>
      <c r="B148" s="84"/>
      <c r="C148" s="85"/>
      <c r="D148" s="86"/>
      <c r="E148" s="87"/>
    </row>
    <row r="149" ht="12" customHeight="1">
      <c r="A149" s="83"/>
      <c r="B149" s="84"/>
      <c r="C149" s="85"/>
      <c r="D149" s="86"/>
      <c r="E149" s="87"/>
    </row>
    <row r="150" ht="12" customHeight="1">
      <c r="A150" s="83"/>
      <c r="B150" s="84"/>
      <c r="C150" s="85"/>
      <c r="D150" s="86"/>
      <c r="E150" s="87"/>
    </row>
    <row r="151" ht="12" customHeight="1">
      <c r="A151" s="83"/>
      <c r="B151" s="84"/>
      <c r="C151" s="85"/>
      <c r="D151" s="86"/>
      <c r="E151" s="87"/>
    </row>
    <row r="152" ht="12" customHeight="1">
      <c r="A152" s="83"/>
      <c r="B152" s="84"/>
      <c r="C152" s="85"/>
      <c r="D152" s="86"/>
      <c r="E152" s="87"/>
    </row>
    <row r="153" ht="12" customHeight="1">
      <c r="A153" s="83"/>
      <c r="B153" s="84"/>
      <c r="C153" s="85"/>
      <c r="D153" s="86"/>
      <c r="E153" s="87"/>
    </row>
    <row r="154" ht="12" customHeight="1">
      <c r="A154" s="83"/>
      <c r="B154" s="84"/>
      <c r="C154" s="85"/>
      <c r="D154" s="86"/>
      <c r="E154" s="87"/>
    </row>
    <row r="155" ht="12" customHeight="1">
      <c r="A155" s="83"/>
      <c r="B155" s="84"/>
      <c r="C155" s="85"/>
      <c r="D155" s="86"/>
      <c r="E155" s="87"/>
    </row>
    <row r="156" ht="12" customHeight="1">
      <c r="A156" s="83"/>
      <c r="B156" s="84"/>
      <c r="C156" s="85"/>
      <c r="D156" s="86"/>
      <c r="E156" s="87"/>
    </row>
    <row r="157" ht="12" customHeight="1">
      <c r="A157" s="83"/>
      <c r="B157" s="84"/>
      <c r="C157" s="85"/>
      <c r="D157" s="86"/>
      <c r="E157" s="87"/>
    </row>
    <row r="158" ht="12" customHeight="1">
      <c r="A158" s="83"/>
      <c r="B158" s="84"/>
      <c r="C158" s="85"/>
      <c r="D158" s="86"/>
      <c r="E158" s="87"/>
    </row>
    <row r="159" ht="12" customHeight="1">
      <c r="A159" s="83"/>
      <c r="B159" s="84"/>
      <c r="C159" s="85"/>
      <c r="D159" s="86"/>
      <c r="E159" s="87"/>
    </row>
    <row r="160" ht="12" customHeight="1">
      <c r="A160" s="83"/>
      <c r="B160" s="84"/>
      <c r="C160" s="85"/>
      <c r="D160" s="86"/>
      <c r="E160" s="87"/>
    </row>
    <row r="161" ht="12" customHeight="1">
      <c r="A161" s="83"/>
      <c r="B161" s="84"/>
      <c r="C161" s="85"/>
      <c r="D161" s="86"/>
      <c r="E161" s="87"/>
    </row>
    <row r="162" ht="12" customHeight="1">
      <c r="A162" s="83"/>
      <c r="B162" s="84"/>
      <c r="C162" s="85"/>
      <c r="D162" s="86"/>
      <c r="E162" s="87"/>
    </row>
    <row r="163" ht="12" customHeight="1">
      <c r="A163" s="83"/>
      <c r="B163" s="84"/>
      <c r="C163" s="85"/>
      <c r="D163" s="86"/>
      <c r="E163" s="87"/>
    </row>
    <row r="164" ht="12" customHeight="1">
      <c r="A164" s="83"/>
      <c r="B164" s="84"/>
      <c r="C164" s="85"/>
      <c r="D164" s="86"/>
      <c r="E164" s="87"/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88" customWidth="1"/>
    <col min="6" max="16384" width="16.3516" style="88" customWidth="1"/>
  </cols>
  <sheetData>
    <row r="1" ht="27.65" customHeight="1">
      <c r="A1" t="s" s="89">
        <v>35</v>
      </c>
      <c r="B1" s="89"/>
      <c r="C1" s="89"/>
      <c r="D1" s="89"/>
      <c r="E1" s="89"/>
    </row>
    <row r="2" ht="20.25" customHeight="1">
      <c r="A2" s="90"/>
      <c r="B2" s="90"/>
      <c r="C2" s="90"/>
      <c r="D2" s="90"/>
      <c r="E2" s="90"/>
    </row>
    <row r="3" ht="20.25" customHeight="1">
      <c r="A3" s="91"/>
      <c r="B3" s="92">
        <v>482</v>
      </c>
      <c r="C3" s="93"/>
      <c r="D3" s="93"/>
      <c r="E3" s="93"/>
    </row>
    <row r="4" ht="20.05" customHeight="1">
      <c r="A4" s="94"/>
      <c r="B4" s="95" cm="1">
        <f t="array" ref="B4">B3*1.15</f>
        <v>554.3</v>
      </c>
      <c r="C4" s="96"/>
      <c r="D4" s="96"/>
      <c r="E4" s="96"/>
    </row>
    <row r="5" ht="20.05" customHeight="1">
      <c r="A5" s="94"/>
      <c r="B5" s="95">
        <v>150</v>
      </c>
      <c r="C5" s="96"/>
      <c r="D5" s="96"/>
      <c r="E5" s="96"/>
    </row>
    <row r="6" ht="20.05" customHeight="1">
      <c r="A6" s="94"/>
      <c r="B6" s="95" cm="1">
        <f t="array" ref="B6">B5*1.15</f>
        <v>172.5</v>
      </c>
      <c r="C6" s="96"/>
      <c r="D6" s="96"/>
      <c r="E6" s="96"/>
    </row>
    <row r="7" ht="20.05" customHeight="1">
      <c r="A7" s="94"/>
      <c r="B7" s="95" cm="1">
        <f t="array" ref="B7">360*1.15</f>
        <v>414</v>
      </c>
      <c r="C7" s="96"/>
      <c r="D7" s="96"/>
      <c r="E7" s="96"/>
    </row>
    <row r="8" ht="20.05" customHeight="1">
      <c r="A8" s="94"/>
      <c r="B8" s="97"/>
      <c r="C8" s="96"/>
      <c r="D8" s="96"/>
      <c r="E8" s="96"/>
    </row>
    <row r="9" ht="20.05" customHeight="1">
      <c r="A9" s="94"/>
      <c r="B9" s="97"/>
      <c r="C9" s="96"/>
      <c r="D9" s="96"/>
      <c r="E9" s="96"/>
    </row>
    <row r="10" ht="20.05" customHeight="1">
      <c r="A10" s="94"/>
      <c r="B10" s="97"/>
      <c r="C10" s="96"/>
      <c r="D10" s="96"/>
      <c r="E10" s="96"/>
    </row>
    <row r="11" ht="20.05" customHeight="1">
      <c r="A11" s="94"/>
      <c r="B11" s="97"/>
      <c r="C11" s="96"/>
      <c r="D11" s="96"/>
      <c r="E11" s="9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