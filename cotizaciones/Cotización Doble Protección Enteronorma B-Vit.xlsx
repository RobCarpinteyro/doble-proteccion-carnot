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04"/>
  <workbookPr/>
  <mc:AlternateContent xmlns:mc="http://schemas.openxmlformats.org/markup-compatibility/2006">
    <mc:Choice Requires="x15">
      <x15ac:absPath xmlns:x15ac="http://schemas.microsoft.com/office/spreadsheetml/2010/11/ac" url="/Users/robcarpinteyro/Documents/Claude/Projects/Enteronorma/DobleProteccion-App/cotizaciones/"/>
    </mc:Choice>
  </mc:AlternateContent>
  <xr:revisionPtr revIDLastSave="0" documentId="13_ncr:1_{BCAB9160-FEC1-1D45-B973-8FDEEDDE8A82}" xr6:coauthVersionLast="47" xr6:coauthVersionMax="47" xr10:uidLastSave="{00000000-0000-0000-0000-000000000000}"/>
  <bookViews>
    <workbookView xWindow="106420" yWindow="10760" windowWidth="22620" windowHeight="21100" tabRatio="500" xr2:uid="{00000000-000D-0000-FFFF-FFFF00000000}"/>
  </bookViews>
  <sheets>
    <sheet name="Cotización" sheetId="1" r:id="rId1"/>
  </sheets>
  <definedNames>
    <definedName name="_xlnm.Print_Area" localSheetId="0">Cotización!$A$1:$F$48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43" i="1" l="1"/>
  <c r="F43" i="1" s="1"/>
  <c r="E42" i="1"/>
  <c r="F42" i="1" s="1"/>
  <c r="E41" i="1"/>
  <c r="F41" i="1" s="1"/>
  <c r="E40" i="1"/>
  <c r="F40" i="1" s="1"/>
  <c r="E36" i="1"/>
  <c r="F36" i="1" s="1"/>
  <c r="E35" i="1"/>
  <c r="F35" i="1" s="1"/>
  <c r="E34" i="1"/>
  <c r="F34" i="1" s="1"/>
  <c r="E33" i="1"/>
  <c r="F33" i="1" s="1"/>
  <c r="E29" i="1"/>
  <c r="F29" i="1" s="1"/>
  <c r="E28" i="1"/>
  <c r="F28" i="1" s="1"/>
  <c r="E27" i="1"/>
  <c r="F27" i="1" s="1"/>
  <c r="E26" i="1"/>
  <c r="F26" i="1" s="1"/>
  <c r="E22" i="1"/>
  <c r="F22" i="1" s="1"/>
  <c r="E21" i="1"/>
  <c r="F21" i="1" s="1"/>
  <c r="E20" i="1"/>
  <c r="F20" i="1" s="1"/>
  <c r="E19" i="1"/>
  <c r="F19" i="1" s="1"/>
  <c r="F23" i="1" s="1"/>
  <c r="E15" i="1"/>
  <c r="F15" i="1" s="1"/>
  <c r="E14" i="1"/>
  <c r="F14" i="1" s="1"/>
  <c r="E13" i="1"/>
  <c r="F13" i="1" s="1"/>
  <c r="E12" i="1"/>
  <c r="F12" i="1" s="1"/>
  <c r="E11" i="1"/>
  <c r="F11" i="1" s="1"/>
  <c r="E7" i="1"/>
  <c r="F7" i="1" s="1"/>
  <c r="E6" i="1"/>
  <c r="F6" i="1" s="1"/>
  <c r="E5" i="1"/>
  <c r="F5" i="1" s="1"/>
  <c r="E4" i="1"/>
  <c r="F4" i="1" s="1"/>
  <c r="F8" i="1" s="1"/>
  <c r="F30" i="1" l="1"/>
  <c r="F37" i="1"/>
  <c r="F44" i="1"/>
  <c r="F16" i="1"/>
  <c r="F46" i="1" l="1"/>
</calcChain>
</file>

<file path=xl/sharedStrings.xml><?xml version="1.0" encoding="utf-8"?>
<sst xmlns="http://schemas.openxmlformats.org/spreadsheetml/2006/main" count="46" uniqueCount="34">
  <si>
    <t>NORMA MUNDIAL 2026 — Enteronorma B-Vit · Carnot Laboratorios · Polar Multimedia</t>
  </si>
  <si>
    <t>DESCRIPCIÓN</t>
  </si>
  <si>
    <t>CANTIDAD</t>
  </si>
  <si>
    <t>COSTO
UNITARIO</t>
  </si>
  <si>
    <t>EDICIONES</t>
  </si>
  <si>
    <t>SUBTOTAL</t>
  </si>
  <si>
    <t>TOTAL
(sin IVA)</t>
  </si>
  <si>
    <t>CONCEPTO Y PRODUCCIONES DIGITALES</t>
  </si>
  <si>
    <t>Concepto creativo "NORMA MUNDIAL 2026": naming, identidad visual del evento, sistema de diseño gráfico y lineamientos de experiencia</t>
  </si>
  <si>
    <t>Telemárketing y Sistema de invitaciones personalizadas por sede:
• Video de introducción al evento (personalizado por ciudad)
• Boleto electrónico de acceso con código QR nominativo
• Flujo de recordatorios automáticos (T-7, T-3 y día del evento)
Plataforma web de registro y acceso:
• Landing page del evento con formulario de inscripción
• Validación de lista de médicos invitados
• Generación automática de boletos QR nominativos
• Check-in digital en sitio con escáner en entrada</t>
  </si>
  <si>
    <t>Sistema interactivo integrado "Doble Protección: El Partido":
• Motor de votación en tiempo real — acceso por QR desde el celular del asistente, preguntas A/B/C por bloque, marcador acumulado MEX vs SA y resultados en pantalla LED al cierre de cada ronda
• Personaje IA "NORMA" — comentarista animada con voz generada por IA y guión reactivo a cada resolución del partido
• 32 videos únicos para cada momento del encuentro: apertura, arranque de tiempos, goles, bloqueos, tarjetas, estadísticas, descanso, penales y cierre — optimizados para pantalla LED 7×3 m
Panel de operación en vivo + reportes post-evento:
• Interfaz web de control para el MC (avance de bloques, activación de votaciones, marcador)
• Tablero de asistencia en tiempo real por sede
• Reporte ejecutivo post-evento con participación y resultados por ciudad
Diseño sonoro:
• Ambientación de estadio para ingreso al salón
• Efectos de silbatazo, gol y tarjeta sincronizados con las votaciones
• Jingle de NORMA para entradas y comentarios en pantalla
• Soundtrack por bloques del partido (primer tiempo, medio tiempo, segundo tiempo)</t>
  </si>
  <si>
    <t>Campaña pre-evento NORMA MUNDIAL 2026:
• Save the Date electrónico con animación temática
• Video teaser
• Invitación electrónica personalizada
• Recordatorios por WhatsApp y correo electrónico</t>
  </si>
  <si>
    <t>Subtotal sección</t>
  </si>
  <si>
    <t>PRODUCCIÓN EN SEDE (3 eventos)</t>
  </si>
  <si>
    <t>Escenario: tapanco metálico 80 cm de altura con base 10×3 m, piso de pasto sintético y estructura de soporte para pantalla LED</t>
  </si>
  <si>
    <t>Pantalla LED P3 — 7×3 metros: renta, instalación y operación</t>
  </si>
  <si>
    <t>Iluminación periférica de escenario:
• Sistema LED perimetral en tapanco y área de ponente
• Programación de efectos para momentos clave (entrada, gol, cierre)</t>
  </si>
  <si>
    <t>Kit giveaway médico por asistente:
• Libreta 16×20 pasta dura, 100 hojas
• Bolígrafo con diseño y gimmick temático NORMA MUNDIAL 2026</t>
  </si>
  <si>
    <t>EQUIPO AUDIOVISUAL Y SOPORTE TÉCNICO</t>
  </si>
  <si>
    <t>Sistema de audio ambiental: línea de arreglo 2×1000 W estéreo con cobertura total del salón</t>
  </si>
  <si>
    <t>Sistema de micrófonos:
• 3 inalámbricos de mano UHF
• 2 de diadema con receptor multicanal</t>
  </si>
  <si>
    <t>Iluminación periférica del salón: wash LED RGB perimetral programado en tonos del evento</t>
  </si>
  <si>
    <t>Personal de coordinación técnica AV en sitio</t>
  </si>
  <si>
    <t>SEDE CDMX SUR — Bel Air (21 de mayo)</t>
  </si>
  <si>
    <t>Cena 3 tiempos por persona:
• Entrada: sopa o ensalada
• Plato fuerte con guarnición + postre
• Bebidas: agua, limonada, naranjada, refrescos + 2 copas de vino o cervezas</t>
  </si>
  <si>
    <t>Estacionamiento por persona</t>
  </si>
  <si>
    <t>Personal de coordinación Polar (incluye viáticos, alimentación durante montaje y evento, transporte local y hospedaje)</t>
  </si>
  <si>
    <t>Transporte terrestre de equipo y personal de montaje/desmontaje (incluye alimentación de crew técnico durante jornada)</t>
  </si>
  <si>
    <t>SEDE CDMX NORTE / EDO MEX — Fiesta Americana Satélite (28 de mayo)</t>
  </si>
  <si>
    <t>SEDE GUADALAJARA — Fiesta Americana Minerva (4 de junio)</t>
  </si>
  <si>
    <t>Transporte terrestre de equipo y personal de montaje/desmontaje — vuelo + flete (incluye alimentación de crew técnico durante jornada)</t>
  </si>
  <si>
    <t>TOTAL SIN IVA</t>
  </si>
  <si>
    <t>* Precios de sede y transporte reflejan cotización actualizada 2026. Producción sujeta a ajuste al cierre del brief. No incluye IVA.</t>
  </si>
  <si>
    <t>Señalización y branding del evento:
• Estructuras luminosas tipo portal en acceso principal con branding NORMA MUNDIAL 2026 y Enteronorma B-Vit
• Columnas con branding en pasillo de acceso al salón
• Roll ups, tótems y folder impreso del evento
Activaciónde bienvenida en túnel de acceso:
• Pasillos de pasto,porterias y amaterial necesario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</si>
</sst>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\$#,##0"/>
  </numFmts>
  <fonts count="9" x14ac:knownFonts="1">
    <font>
      <sz val="11"/>
      <color theme="1"/>
      <name val="Calibri"/>
      <family val="2"/>
      <charset val="1"/>
    </font>
    <font>
      <b/>
      <sz val="13"/>
      <color rgb="FFFFFFFF"/>
      <name val="Arial"/>
      <family val="2"/>
    </font>
    <font>
      <b/>
      <sz val="9"/>
      <color rgb="FFFFFFFF"/>
      <name val="Arial"/>
      <family val="2"/>
    </font>
    <font>
      <b/>
      <sz val="10"/>
      <color rgb="FF1F3864"/>
      <name val="Arial"/>
      <family val="2"/>
    </font>
    <font>
      <sz val="9"/>
      <color rgb="FF333333"/>
      <name val="Arial"/>
      <family val="2"/>
    </font>
    <font>
      <b/>
      <i/>
      <sz val="9"/>
      <color rgb="FF1F3864"/>
      <name val="Arial"/>
      <family val="2"/>
    </font>
    <font>
      <b/>
      <sz val="12"/>
      <color rgb="FFFFFFFF"/>
      <name val="Arial"/>
      <family val="2"/>
    </font>
    <font>
      <i/>
      <sz val="8"/>
      <color rgb="FF666666"/>
      <name val="Arial"/>
      <family val="2"/>
    </font>
    <font>
      <b/>
      <sz val="11"/>
      <color theme="1"/>
      <name val="Calibri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6E4F0"/>
        <bgColor rgb="FFF2F2F2"/>
      </patternFill>
    </fill>
    <fill>
      <patternFill patternType="solid">
        <fgColor rgb="FFF2F2F2"/>
        <bgColor rgb="FFFFFFFF"/>
      </patternFill>
    </fill>
    <fill>
      <patternFill patternType="solid">
        <fgColor rgb="FFFFFFFF"/>
        <bgColor rgb="FFF2F2F2"/>
      </patternFill>
    </fill>
  </fills>
  <borders count="3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/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7" fillId="5" borderId="2" xfId="0" applyFont="1" applyFill="1" applyBorder="1" applyAlignment="1">
      <alignment horizontal="left" vertical="center" wrapText="1"/>
    </xf>
    <xf numFmtId="0" fontId="6" fillId="2" borderId="1" xfId="0" applyFont="1" applyFill="1" applyBorder="1" applyAlignment="1">
      <alignment horizontal="right" vertical="center"/>
    </xf>
    <xf numFmtId="0" fontId="3" fillId="3" borderId="1" xfId="0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left" vertical="center" wrapText="1"/>
    </xf>
    <xf numFmtId="3" fontId="4" fillId="4" borderId="1" xfId="0" applyNumberFormat="1" applyFont="1" applyFill="1" applyBorder="1" applyAlignment="1">
      <alignment horizontal="center" vertical="center"/>
    </xf>
    <xf numFmtId="164" fontId="4" fillId="4" borderId="1" xfId="0" applyNumberFormat="1" applyFont="1" applyFill="1" applyBorder="1" applyAlignment="1">
      <alignment horizontal="right" vertical="center"/>
    </xf>
    <xf numFmtId="0" fontId="4" fillId="5" borderId="1" xfId="0" applyFont="1" applyFill="1" applyBorder="1" applyAlignment="1">
      <alignment horizontal="left" vertical="center" wrapText="1"/>
    </xf>
    <xf numFmtId="3" fontId="4" fillId="5" borderId="1" xfId="0" applyNumberFormat="1" applyFont="1" applyFill="1" applyBorder="1" applyAlignment="1">
      <alignment horizontal="center" vertical="center"/>
    </xf>
    <xf numFmtId="164" fontId="4" fillId="5" borderId="1" xfId="0" applyNumberFormat="1" applyFont="1" applyFill="1" applyBorder="1" applyAlignment="1">
      <alignment horizontal="right" vertical="center"/>
    </xf>
    <xf numFmtId="0" fontId="5" fillId="5" borderId="1" xfId="0" applyFont="1" applyFill="1" applyBorder="1" applyAlignment="1">
      <alignment horizontal="right" vertical="center"/>
    </xf>
    <xf numFmtId="0" fontId="5" fillId="5" borderId="1" xfId="0" applyFont="1" applyFill="1" applyBorder="1" applyAlignment="1">
      <alignment horizontal="left" vertical="center" wrapText="1"/>
    </xf>
    <xf numFmtId="164" fontId="5" fillId="5" borderId="1" xfId="0" applyNumberFormat="1" applyFont="1" applyFill="1" applyBorder="1" applyAlignment="1">
      <alignment horizontal="right" vertical="center"/>
    </xf>
    <xf numFmtId="164" fontId="6" fillId="2" borderId="1" xfId="0" applyNumberFormat="1" applyFont="1" applyFill="1" applyBorder="1" applyAlignment="1">
      <alignment horizontal="right" vertical="center"/>
    </xf>
    <xf numFmtId="0" fontId="8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D6E4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F48"/>
  <sheetViews>
    <sheetView tabSelected="1" zoomScaleNormal="100" workbookViewId="0">
      <selection activeCell="A14" sqref="A14"/>
    </sheetView>
  </sheetViews>
  <sheetFormatPr baseColWidth="10" defaultColWidth="8.6640625" defaultRowHeight="15" x14ac:dyDescent="0.2"/>
  <cols>
    <col min="1" max="1" width="62" customWidth="1"/>
    <col min="2" max="2" width="11" customWidth="1"/>
    <col min="3" max="3" width="14" customWidth="1"/>
    <col min="4" max="4" width="11" customWidth="1"/>
    <col min="5" max="5" width="14" customWidth="1"/>
    <col min="6" max="6" width="16" customWidth="1"/>
  </cols>
  <sheetData>
    <row r="1" spans="1:6" ht="70" customHeight="1" x14ac:dyDescent="0.2">
      <c r="A1" s="4" t="s">
        <v>0</v>
      </c>
      <c r="B1" s="4"/>
      <c r="C1" s="4"/>
      <c r="D1" s="4"/>
      <c r="E1" s="4"/>
      <c r="F1" s="4"/>
    </row>
    <row r="2" spans="1:6" s="16" customFormat="1" ht="64" customHeight="1" x14ac:dyDescent="0.2">
      <c r="A2" s="5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5" t="s">
        <v>6</v>
      </c>
    </row>
    <row r="3" spans="1:6" ht="34" customHeight="1" x14ac:dyDescent="0.2">
      <c r="A3" s="3" t="s">
        <v>7</v>
      </c>
      <c r="B3" s="3"/>
      <c r="C3" s="3"/>
      <c r="D3" s="3"/>
      <c r="E3" s="3"/>
      <c r="F3" s="3"/>
    </row>
    <row r="4" spans="1:6" ht="50.25" customHeight="1" x14ac:dyDescent="0.2">
      <c r="A4" s="6" t="s">
        <v>8</v>
      </c>
      <c r="B4" s="7">
        <v>1</v>
      </c>
      <c r="C4" s="8">
        <v>65000</v>
      </c>
      <c r="D4" s="7">
        <v>1</v>
      </c>
      <c r="E4" s="8">
        <f>B4*C4*D4</f>
        <v>65000</v>
      </c>
      <c r="F4" s="8">
        <f>E4</f>
        <v>65000</v>
      </c>
    </row>
    <row r="5" spans="1:6" ht="174" customHeight="1" x14ac:dyDescent="0.2">
      <c r="A5" s="9" t="s">
        <v>9</v>
      </c>
      <c r="B5" s="10">
        <v>1</v>
      </c>
      <c r="C5" s="11">
        <v>18000</v>
      </c>
      <c r="D5" s="10">
        <v>1</v>
      </c>
      <c r="E5" s="11">
        <f>B5*C5*D5</f>
        <v>18000</v>
      </c>
      <c r="F5" s="11">
        <f>E5</f>
        <v>18000</v>
      </c>
    </row>
    <row r="6" spans="1:6" ht="267" customHeight="1" x14ac:dyDescent="0.2">
      <c r="A6" s="6" t="s">
        <v>10</v>
      </c>
      <c r="B6" s="7">
        <v>1</v>
      </c>
      <c r="C6" s="8">
        <v>125000</v>
      </c>
      <c r="D6" s="7">
        <v>1</v>
      </c>
      <c r="E6" s="8">
        <f>B6*C6*D6</f>
        <v>125000</v>
      </c>
      <c r="F6" s="8">
        <f>E6</f>
        <v>125000</v>
      </c>
    </row>
    <row r="7" spans="1:6" ht="81" customHeight="1" x14ac:dyDescent="0.2">
      <c r="A7" s="9" t="s">
        <v>11</v>
      </c>
      <c r="B7" s="10">
        <v>1</v>
      </c>
      <c r="C7" s="11">
        <v>12000</v>
      </c>
      <c r="D7" s="10">
        <v>1</v>
      </c>
      <c r="E7" s="11">
        <f>B7*C7*D7</f>
        <v>12000</v>
      </c>
      <c r="F7" s="11">
        <f>E7</f>
        <v>12000</v>
      </c>
    </row>
    <row r="8" spans="1:6" ht="18" customHeight="1" x14ac:dyDescent="0.2">
      <c r="A8" s="12" t="s">
        <v>12</v>
      </c>
      <c r="B8" s="13"/>
      <c r="C8" s="13"/>
      <c r="D8" s="13"/>
      <c r="E8" s="13"/>
      <c r="F8" s="14">
        <f>SUM(F4:F7)</f>
        <v>220000</v>
      </c>
    </row>
    <row r="9" spans="1:6" ht="4.5" customHeight="1" x14ac:dyDescent="0.2"/>
    <row r="10" spans="1:6" ht="34" customHeight="1" x14ac:dyDescent="0.2">
      <c r="A10" s="3" t="s">
        <v>13</v>
      </c>
      <c r="B10" s="3"/>
      <c r="C10" s="3"/>
      <c r="D10" s="3"/>
      <c r="E10" s="3"/>
      <c r="F10" s="3"/>
    </row>
    <row r="11" spans="1:6" ht="50.25" customHeight="1" x14ac:dyDescent="0.2">
      <c r="A11" s="6" t="s">
        <v>14</v>
      </c>
      <c r="B11" s="7">
        <v>1</v>
      </c>
      <c r="C11" s="8">
        <v>14100</v>
      </c>
      <c r="D11" s="7">
        <v>3</v>
      </c>
      <c r="E11" s="8">
        <f t="shared" ref="E11:E15" si="0">B11*C11*D11</f>
        <v>42300</v>
      </c>
      <c r="F11" s="8">
        <f t="shared" ref="F11:F15" si="1">E11</f>
        <v>42300</v>
      </c>
    </row>
    <row r="12" spans="1:6" ht="29" customHeight="1" x14ac:dyDescent="0.2">
      <c r="A12" s="9" t="s">
        <v>15</v>
      </c>
      <c r="B12" s="10">
        <v>1</v>
      </c>
      <c r="C12" s="11">
        <v>78000</v>
      </c>
      <c r="D12" s="10">
        <v>3</v>
      </c>
      <c r="E12" s="11">
        <f t="shared" si="0"/>
        <v>234000</v>
      </c>
      <c r="F12" s="11">
        <f t="shared" si="1"/>
        <v>234000</v>
      </c>
    </row>
    <row r="13" spans="1:6" ht="66" customHeight="1" x14ac:dyDescent="0.2">
      <c r="A13" s="6" t="s">
        <v>16</v>
      </c>
      <c r="B13" s="7">
        <v>1</v>
      </c>
      <c r="C13" s="8">
        <v>12100</v>
      </c>
      <c r="D13" s="7">
        <v>3</v>
      </c>
      <c r="E13" s="8">
        <f t="shared" si="0"/>
        <v>36300</v>
      </c>
      <c r="F13" s="8">
        <f t="shared" si="1"/>
        <v>36300</v>
      </c>
    </row>
    <row r="14" spans="1:6" ht="164" customHeight="1" x14ac:dyDescent="0.2">
      <c r="A14" s="9" t="s">
        <v>33</v>
      </c>
      <c r="B14" s="10">
        <v>1</v>
      </c>
      <c r="C14" s="11">
        <v>16100</v>
      </c>
      <c r="D14" s="10">
        <v>3</v>
      </c>
      <c r="E14" s="11">
        <f t="shared" si="0"/>
        <v>48300</v>
      </c>
      <c r="F14" s="11">
        <f t="shared" si="1"/>
        <v>48300</v>
      </c>
    </row>
    <row r="15" spans="1:6" ht="50.25" customHeight="1" x14ac:dyDescent="0.2">
      <c r="A15" s="9" t="s">
        <v>17</v>
      </c>
      <c r="B15" s="10">
        <v>100</v>
      </c>
      <c r="C15" s="11">
        <v>420</v>
      </c>
      <c r="D15" s="10">
        <v>3</v>
      </c>
      <c r="E15" s="11">
        <f t="shared" si="0"/>
        <v>126000</v>
      </c>
      <c r="F15" s="11">
        <f t="shared" si="1"/>
        <v>126000</v>
      </c>
    </row>
    <row r="16" spans="1:6" ht="18" customHeight="1" x14ac:dyDescent="0.2">
      <c r="A16" s="12" t="s">
        <v>12</v>
      </c>
      <c r="B16" s="13"/>
      <c r="C16" s="13"/>
      <c r="D16" s="13"/>
      <c r="E16" s="13"/>
      <c r="F16" s="14">
        <f>SUM(F11:F15)</f>
        <v>486900</v>
      </c>
    </row>
    <row r="17" spans="1:6" ht="4.5" customHeight="1" x14ac:dyDescent="0.2"/>
    <row r="18" spans="1:6" ht="34" customHeight="1" x14ac:dyDescent="0.2">
      <c r="A18" s="3" t="s">
        <v>18</v>
      </c>
      <c r="B18" s="3"/>
      <c r="C18" s="3"/>
      <c r="D18" s="3"/>
      <c r="E18" s="3"/>
      <c r="F18" s="3"/>
    </row>
    <row r="19" spans="1:6" ht="34.5" customHeight="1" x14ac:dyDescent="0.2">
      <c r="A19" s="6" t="s">
        <v>19</v>
      </c>
      <c r="B19" s="7">
        <v>1</v>
      </c>
      <c r="C19" s="8">
        <v>12000</v>
      </c>
      <c r="D19" s="7">
        <v>3</v>
      </c>
      <c r="E19" s="8">
        <f>B19*C19*D19</f>
        <v>36000</v>
      </c>
      <c r="F19" s="8">
        <f>E19</f>
        <v>36000</v>
      </c>
    </row>
    <row r="20" spans="1:6" ht="50.25" customHeight="1" x14ac:dyDescent="0.2">
      <c r="A20" s="9" t="s">
        <v>20</v>
      </c>
      <c r="B20" s="10">
        <v>1</v>
      </c>
      <c r="C20" s="11">
        <v>7500</v>
      </c>
      <c r="D20" s="10">
        <v>3</v>
      </c>
      <c r="E20" s="11">
        <f>B20*C20*D20</f>
        <v>22500</v>
      </c>
      <c r="F20" s="11">
        <f>E20</f>
        <v>22500</v>
      </c>
    </row>
    <row r="21" spans="1:6" ht="34.5" customHeight="1" x14ac:dyDescent="0.2">
      <c r="A21" s="6" t="s">
        <v>21</v>
      </c>
      <c r="B21" s="7">
        <v>1</v>
      </c>
      <c r="C21" s="8">
        <v>10000</v>
      </c>
      <c r="D21" s="7">
        <v>3</v>
      </c>
      <c r="E21" s="8">
        <f>B21*C21*D21</f>
        <v>30000</v>
      </c>
      <c r="F21" s="8">
        <f>E21</f>
        <v>30000</v>
      </c>
    </row>
    <row r="22" spans="1:6" ht="19.5" customHeight="1" x14ac:dyDescent="0.2">
      <c r="A22" s="9" t="s">
        <v>22</v>
      </c>
      <c r="B22" s="10">
        <v>2</v>
      </c>
      <c r="C22" s="11">
        <v>5000</v>
      </c>
      <c r="D22" s="10">
        <v>3</v>
      </c>
      <c r="E22" s="11">
        <f>B22*C22*D22</f>
        <v>30000</v>
      </c>
      <c r="F22" s="11">
        <f>E22</f>
        <v>30000</v>
      </c>
    </row>
    <row r="23" spans="1:6" ht="18" customHeight="1" x14ac:dyDescent="0.2">
      <c r="A23" s="12" t="s">
        <v>12</v>
      </c>
      <c r="B23" s="13"/>
      <c r="C23" s="13"/>
      <c r="D23" s="13"/>
      <c r="E23" s="13"/>
      <c r="F23" s="14">
        <f>SUM(F19:F22)</f>
        <v>118500</v>
      </c>
    </row>
    <row r="24" spans="1:6" ht="4.5" customHeight="1" x14ac:dyDescent="0.2"/>
    <row r="25" spans="1:6" ht="38" customHeight="1" x14ac:dyDescent="0.2">
      <c r="A25" s="3" t="s">
        <v>23</v>
      </c>
      <c r="B25" s="3"/>
      <c r="C25" s="3"/>
      <c r="D25" s="3"/>
      <c r="E25" s="3"/>
      <c r="F25" s="3"/>
    </row>
    <row r="26" spans="1:6" ht="81" customHeight="1" x14ac:dyDescent="0.2">
      <c r="A26" s="6" t="s">
        <v>24</v>
      </c>
      <c r="B26" s="7">
        <v>100</v>
      </c>
      <c r="C26" s="8">
        <v>1800</v>
      </c>
      <c r="D26" s="7">
        <v>1</v>
      </c>
      <c r="E26" s="8">
        <f>B26*C26*D26</f>
        <v>180000</v>
      </c>
      <c r="F26" s="8">
        <f>E26</f>
        <v>180000</v>
      </c>
    </row>
    <row r="27" spans="1:6" ht="19.5" customHeight="1" x14ac:dyDescent="0.2">
      <c r="A27" s="9" t="s">
        <v>25</v>
      </c>
      <c r="B27" s="10">
        <v>100</v>
      </c>
      <c r="C27" s="11">
        <v>250</v>
      </c>
      <c r="D27" s="10">
        <v>1</v>
      </c>
      <c r="E27" s="11">
        <f>B27*C27*D27</f>
        <v>25000</v>
      </c>
      <c r="F27" s="11">
        <f>E27</f>
        <v>25000</v>
      </c>
    </row>
    <row r="28" spans="1:6" ht="34.5" customHeight="1" x14ac:dyDescent="0.2">
      <c r="A28" s="6" t="s">
        <v>26</v>
      </c>
      <c r="B28" s="7">
        <v>2</v>
      </c>
      <c r="C28" s="8">
        <v>4000</v>
      </c>
      <c r="D28" s="7">
        <v>1</v>
      </c>
      <c r="E28" s="8">
        <f>B28*C28*D28</f>
        <v>8000</v>
      </c>
      <c r="F28" s="8">
        <f>E28</f>
        <v>8000</v>
      </c>
    </row>
    <row r="29" spans="1:6" ht="34.5" customHeight="1" x14ac:dyDescent="0.2">
      <c r="A29" s="9" t="s">
        <v>27</v>
      </c>
      <c r="B29" s="10">
        <v>1</v>
      </c>
      <c r="C29" s="11">
        <v>16000</v>
      </c>
      <c r="D29" s="10">
        <v>1</v>
      </c>
      <c r="E29" s="11">
        <f>B29*C29*D29</f>
        <v>16000</v>
      </c>
      <c r="F29" s="11">
        <f>E29</f>
        <v>16000</v>
      </c>
    </row>
    <row r="30" spans="1:6" ht="18" customHeight="1" x14ac:dyDescent="0.2">
      <c r="A30" s="12" t="s">
        <v>12</v>
      </c>
      <c r="B30" s="13"/>
      <c r="C30" s="13"/>
      <c r="D30" s="13"/>
      <c r="E30" s="13"/>
      <c r="F30" s="14">
        <f>SUM(F26:F29)</f>
        <v>229000</v>
      </c>
    </row>
    <row r="31" spans="1:6" ht="4.5" customHeight="1" x14ac:dyDescent="0.2"/>
    <row r="32" spans="1:6" ht="35" customHeight="1" x14ac:dyDescent="0.2">
      <c r="A32" s="3" t="s">
        <v>28</v>
      </c>
      <c r="B32" s="3"/>
      <c r="C32" s="3"/>
      <c r="D32" s="3"/>
      <c r="E32" s="3"/>
      <c r="F32" s="3"/>
    </row>
    <row r="33" spans="1:6" ht="81" customHeight="1" x14ac:dyDescent="0.2">
      <c r="A33" s="6" t="s">
        <v>24</v>
      </c>
      <c r="B33" s="7">
        <v>100</v>
      </c>
      <c r="C33" s="8">
        <v>2000</v>
      </c>
      <c r="D33" s="7">
        <v>1</v>
      </c>
      <c r="E33" s="8">
        <f>B33*C33*D33</f>
        <v>200000</v>
      </c>
      <c r="F33" s="8">
        <f>E33</f>
        <v>200000</v>
      </c>
    </row>
    <row r="34" spans="1:6" ht="19.5" customHeight="1" x14ac:dyDescent="0.2">
      <c r="A34" s="9" t="s">
        <v>25</v>
      </c>
      <c r="B34" s="10">
        <v>100</v>
      </c>
      <c r="C34" s="11">
        <v>160</v>
      </c>
      <c r="D34" s="10">
        <v>1</v>
      </c>
      <c r="E34" s="11">
        <f>B34*C34*D34</f>
        <v>16000</v>
      </c>
      <c r="F34" s="11">
        <f>E34</f>
        <v>16000</v>
      </c>
    </row>
    <row r="35" spans="1:6" ht="34.5" customHeight="1" x14ac:dyDescent="0.2">
      <c r="A35" s="6" t="s">
        <v>26</v>
      </c>
      <c r="B35" s="7">
        <v>2</v>
      </c>
      <c r="C35" s="8">
        <v>4000</v>
      </c>
      <c r="D35" s="7">
        <v>1</v>
      </c>
      <c r="E35" s="8">
        <f>B35*C35*D35</f>
        <v>8000</v>
      </c>
      <c r="F35" s="8">
        <f>E35</f>
        <v>8000</v>
      </c>
    </row>
    <row r="36" spans="1:6" ht="34.5" customHeight="1" x14ac:dyDescent="0.2">
      <c r="A36" s="9" t="s">
        <v>27</v>
      </c>
      <c r="B36" s="10">
        <v>1</v>
      </c>
      <c r="C36" s="11">
        <v>16000</v>
      </c>
      <c r="D36" s="10">
        <v>1</v>
      </c>
      <c r="E36" s="11">
        <f>B36*C36*D36</f>
        <v>16000</v>
      </c>
      <c r="F36" s="11">
        <f>E36</f>
        <v>16000</v>
      </c>
    </row>
    <row r="37" spans="1:6" ht="18" customHeight="1" x14ac:dyDescent="0.2">
      <c r="A37" s="12" t="s">
        <v>12</v>
      </c>
      <c r="B37" s="13"/>
      <c r="C37" s="13"/>
      <c r="D37" s="13"/>
      <c r="E37" s="13"/>
      <c r="F37" s="14">
        <f>SUM(F33:F36)</f>
        <v>240000</v>
      </c>
    </row>
    <row r="38" spans="1:6" ht="4.5" customHeight="1" x14ac:dyDescent="0.2"/>
    <row r="39" spans="1:6" ht="36" customHeight="1" x14ac:dyDescent="0.2">
      <c r="A39" s="3" t="s">
        <v>29</v>
      </c>
      <c r="B39" s="3"/>
      <c r="C39" s="3"/>
      <c r="D39" s="3"/>
      <c r="E39" s="3"/>
      <c r="F39" s="3"/>
    </row>
    <row r="40" spans="1:6" ht="81" customHeight="1" x14ac:dyDescent="0.2">
      <c r="A40" s="6" t="s">
        <v>24</v>
      </c>
      <c r="B40" s="7">
        <v>100</v>
      </c>
      <c r="C40" s="8">
        <v>2100</v>
      </c>
      <c r="D40" s="7">
        <v>1</v>
      </c>
      <c r="E40" s="8">
        <f>B40*C40*D40</f>
        <v>210000</v>
      </c>
      <c r="F40" s="8">
        <f>E40</f>
        <v>210000</v>
      </c>
    </row>
    <row r="41" spans="1:6" ht="19.5" customHeight="1" x14ac:dyDescent="0.2">
      <c r="A41" s="9" t="s">
        <v>25</v>
      </c>
      <c r="B41" s="10">
        <v>100</v>
      </c>
      <c r="C41" s="11">
        <v>210</v>
      </c>
      <c r="D41" s="10">
        <v>1</v>
      </c>
      <c r="E41" s="11">
        <f>B41*C41*D41</f>
        <v>21000</v>
      </c>
      <c r="F41" s="11">
        <f>E41</f>
        <v>21000</v>
      </c>
    </row>
    <row r="42" spans="1:6" ht="34.5" customHeight="1" x14ac:dyDescent="0.2">
      <c r="A42" s="6" t="s">
        <v>26</v>
      </c>
      <c r="B42" s="7">
        <v>2</v>
      </c>
      <c r="C42" s="8">
        <v>8000</v>
      </c>
      <c r="D42" s="7">
        <v>1</v>
      </c>
      <c r="E42" s="8">
        <f>B42*C42*D42</f>
        <v>16000</v>
      </c>
      <c r="F42" s="8">
        <f>E42</f>
        <v>16000</v>
      </c>
    </row>
    <row r="43" spans="1:6" ht="50.25" customHeight="1" x14ac:dyDescent="0.2">
      <c r="A43" s="9" t="s">
        <v>30</v>
      </c>
      <c r="B43" s="10">
        <v>1</v>
      </c>
      <c r="C43" s="11">
        <v>48000</v>
      </c>
      <c r="D43" s="10">
        <v>1</v>
      </c>
      <c r="E43" s="11">
        <f>B43*C43*D43</f>
        <v>48000</v>
      </c>
      <c r="F43" s="11">
        <f>E43</f>
        <v>48000</v>
      </c>
    </row>
    <row r="44" spans="1:6" ht="18" customHeight="1" x14ac:dyDescent="0.2">
      <c r="A44" s="12" t="s">
        <v>12</v>
      </c>
      <c r="B44" s="13"/>
      <c r="C44" s="13"/>
      <c r="D44" s="13"/>
      <c r="E44" s="13"/>
      <c r="F44" s="14">
        <f>SUM(F40:F43)</f>
        <v>295000</v>
      </c>
    </row>
    <row r="45" spans="1:6" ht="4.5" customHeight="1" x14ac:dyDescent="0.2"/>
    <row r="46" spans="1:6" ht="27.75" customHeight="1" x14ac:dyDescent="0.2">
      <c r="A46" s="2" t="s">
        <v>31</v>
      </c>
      <c r="B46" s="2"/>
      <c r="C46" s="2"/>
      <c r="D46" s="2"/>
      <c r="E46" s="2"/>
      <c r="F46" s="15">
        <f>F8+F16+F23+F30+F37+F44</f>
        <v>1589400</v>
      </c>
    </row>
    <row r="48" spans="1:6" ht="19.5" customHeight="1" x14ac:dyDescent="0.2">
      <c r="A48" s="1" t="s">
        <v>32</v>
      </c>
      <c r="B48" s="1"/>
      <c r="C48" s="1"/>
      <c r="D48" s="1"/>
      <c r="E48" s="1"/>
      <c r="F48" s="1"/>
    </row>
  </sheetData>
  <mergeCells count="9">
    <mergeCell ref="A32:F32"/>
    <mergeCell ref="A39:F39"/>
    <mergeCell ref="A46:E46"/>
    <mergeCell ref="A48:F48"/>
    <mergeCell ref="A1:F1"/>
    <mergeCell ref="A3:F3"/>
    <mergeCell ref="A10:F10"/>
    <mergeCell ref="A18:F18"/>
    <mergeCell ref="A25:F25"/>
  </mergeCells>
  <pageMargins left="0.75" right="0.75" top="1" bottom="1" header="0.511811023622047" footer="0.511811023622047"/>
  <pageSetup fitToHeight="0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Cotización</vt:lpstr>
      <vt:lpstr>Cotización!Área_de_impresión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Polar Multimedia</cp:lastModifiedBy>
  <cp:revision>0</cp:revision>
  <dcterms:created xsi:type="dcterms:W3CDTF">2026-04-10T14:05:57Z</dcterms:created>
  <dcterms:modified xsi:type="dcterms:W3CDTF">2026-04-10T16:21:06Z</dcterms:modified>
  <dc:language>en-US</dc:language>
</cp:coreProperties>
</file>