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ble Protección B-Vi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<sst xmlns="http://schemas.openxmlformats.org/spreadsheetml/2006/main" count="70" uniqueCount="44">
  <si>
    <t xml:space="preserve">Doble Protección: El Partido — Enteronorma B-Vit · Carnot Laboratorios</t>
  </si>
  <si>
    <t xml:space="preserve">CANTIDAD</t>
  </si>
  <si>
    <t xml:space="preserve">COSTO
UNITARIO</t>
  </si>
  <si>
    <t xml:space="preserve">EDICIONES</t>
  </si>
  <si>
    <t xml:space="preserve">SUBTOTAL</t>
  </si>
  <si>
    <t xml:space="preserve">FEE
APLICABLE 10%</t>
  </si>
  <si>
    <t xml:space="preserve">Total
(sin IVA)</t>
  </si>
  <si>
    <t xml:space="preserve">CONCEPTO Y PRODUCCIONES DIGITALES</t>
  </si>
  <si>
    <t xml:space="preserve">Concepto creativo (Cortesía en paquete)</t>
  </si>
  <si>
    <t xml:space="preserve">CORTESÍA</t>
  </si>
  <si>
    <t xml:space="preserve">Sistema digital interactivo "Doble Protección: El Partido" — app de votación en tiempo real con acceso por QR, narrador IA y marcador en vivo (Cortesía en paquete)</t>
  </si>
  <si>
    <t xml:space="preserve">Campaña pre-evento: Save the Date electrónico, video teaser, invitación electrónica, 2 recordatorios y sistema de confirmación de asistentes</t>
  </si>
  <si>
    <t xml:space="preserve">Producción de contenidos en video: video de apertura, video de cierre y cortinillas de presentación por bloque</t>
  </si>
  <si>
    <t xml:space="preserve">Corrección y adaptación de presentaciones de ponentes con imagen del evento</t>
  </si>
  <si>
    <t xml:space="preserve">Material post-evento: resumen ejecutivo de sesión, galería fotográfica editada y material de seguimiento digital</t>
  </si>
  <si>
    <t xml:space="preserve">PRODUCCIÓN EN SEDE (3 eventos)</t>
  </si>
  <si>
    <t xml:space="preserve">Escenografía y ambientación temática "Doble Protección" para sala de evento</t>
  </si>
  <si>
    <t xml:space="preserve">Mapping y proyección inmersiva LED: estructura, contenido reactivo y operador en sitio</t>
  </si>
  <si>
    <t xml:space="preserve">Tótems y banners LED con imagen del evento</t>
  </si>
  <si>
    <t xml:space="preserve">Kit giveaway médico: libreta 16x20 pasta dura 100 hojas, bolígrafo con diseño y gimmick temático "Doble Protección"</t>
  </si>
  <si>
    <t xml:space="preserve">Hostess de registro y bienvenida</t>
  </si>
  <si>
    <t xml:space="preserve">EQUIPO AUDIOVISUAL Y SOPORTE</t>
  </si>
  <si>
    <t xml:space="preserve">Sistema de audio profesional</t>
  </si>
  <si>
    <t xml:space="preserve">Pantalla y sistema de proyección</t>
  </si>
  <si>
    <t xml:space="preserve">Micrófonos inalámbricos</t>
  </si>
  <si>
    <t xml:space="preserve">Personal de coordinación general</t>
  </si>
  <si>
    <t xml:space="preserve">SEDE CDMX SUR — Bel Air (21 de mayo)</t>
  </si>
  <si>
    <t xml:space="preserve">Cena 3 tiempos: sopa o ensalada, plato fuerte con guarnición, postre + agua de sabor, barra de limonada, naranjada y refrescos por todo el evento + 2 copas de vino o cervezas por persona</t>
  </si>
  <si>
    <t xml:space="preserve">Estacionamiento</t>
  </si>
  <si>
    <t xml:space="preserve">Traslado Ponentes</t>
  </si>
  <si>
    <t xml:space="preserve">Vuelo (AEROMEXICO, maleta documentada 25 kg, equipaje de mano, asiento designado, cambio permitido, reembolsable, impuestos incluidos)</t>
  </si>
  <si>
    <t xml:space="preserve">Transporte terrestre (aeropuerto – sede / sede – aeropuerto)</t>
  </si>
  <si>
    <t xml:space="preserve">Hospedaje: estancia 1 noche, desayuno incluido</t>
  </si>
  <si>
    <t xml:space="preserve">Traslado Staff CARNOT</t>
  </si>
  <si>
    <t xml:space="preserve">Personal de coordinación (viáticos, transporte y hospedaje)</t>
  </si>
  <si>
    <t xml:space="preserve">Transporte terrestre y personal de montaje y desmontaje</t>
  </si>
  <si>
    <t xml:space="preserve">SEDE CDMX NORTE / EDO MEX — Fiesta Americana Satélite (28 de mayo)</t>
  </si>
  <si>
    <t xml:space="preserve">SEDE GUADALAJARA — Fiesta Americana Minerva (4 de junio)</t>
  </si>
  <si>
    <t xml:space="preserve">Vuelo GDL – CDMX (AEROMEXICO, maleta documentada 25 kg, equipaje de mano, asiento designado, cambio permitido, reembolsable, impuestos incluidos)</t>
  </si>
  <si>
    <t xml:space="preserve">Personal de coordinación general (viáticos, transporte y hospedaje)</t>
  </si>
  <si>
    <t xml:space="preserve">EN CORTESÍA</t>
  </si>
  <si>
    <t xml:space="preserve">Valor real ahorrado en cortesías</t>
  </si>
  <si>
    <t xml:space="preserve">Total (No incluye IVA)</t>
  </si>
  <si>
    <t xml:space="preserve">* Precios de sede (cena y estacionamiento) confirmados. Vuelos y hospedaje de ponentes y staff CARNOT por definir al cierre. Precios de producción sujetos a ajuste. No incluye IVA.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</si>
</sst>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4472C4"/>
        <bgColor rgb="FF2F5496"/>
      </patternFill>
    </fill>
    <fill>
      <patternFill patternType="solid">
        <fgColor rgb="FFE2EFDA"/>
        <bgColor rgb="FFD6E4F7"/>
      </patternFill>
    </fill>
    <fill>
      <patternFill patternType="solid">
        <fgColor rgb="FFF5F5F5"/>
        <bgColor rgb="FFFFFFFF"/>
      </patternFill>
    </fill>
    <fill>
      <patternFill patternType="solid">
        <fgColor rgb="FFD6E4F7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3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customFormat="false" ht="15.75" hidden="false" customHeight="true" outlineLevel="0" collapsed="false">
      <c r="A3" s="3" t="s">
        <v>7</v>
      </c>
      <c r="B3" s="4"/>
      <c r="C3" s="4"/>
      <c r="D3" s="4"/>
      <c r="E3" s="4"/>
      <c r="F3" s="4"/>
      <c r="G3" s="5" t="n">
        <f aca="false">G6+G7+G8+G9</f>
        <v>119000</v>
      </c>
    </row>
    <row r="4" customFormat="false" ht="15" hidden="false" customHeight="true" outlineLevel="0" collapsed="false">
      <c r="A4" s="6" t="s">
        <v>8</v>
      </c>
      <c r="B4" s="7"/>
      <c r="C4" s="7"/>
      <c r="D4" s="7"/>
      <c r="E4" s="7"/>
      <c r="F4" s="7"/>
      <c r="G4" s="7" t="s">
        <v>9</v>
      </c>
    </row>
    <row r="5" customFormat="false" ht="15" hidden="false" customHeight="true" outlineLevel="0" collapsed="false">
      <c r="A5" s="6" t="s">
        <v>10</v>
      </c>
      <c r="B5" s="7"/>
      <c r="C5" s="7"/>
      <c r="D5" s="7"/>
      <c r="E5" s="7"/>
      <c r="F5" s="7"/>
      <c r="G5" s="7" t="s">
        <v>9</v>
      </c>
    </row>
    <row r="6" customFormat="false" ht="30" hidden="false" customHeight="true" outlineLevel="0" collapsed="false">
      <c r="A6" s="8" t="s">
        <v>11</v>
      </c>
      <c r="B6" s="9" t="n">
        <v>1</v>
      </c>
      <c r="C6" s="9" t="n">
        <v>48000</v>
      </c>
      <c r="D6" s="10" t="n">
        <v>1</v>
      </c>
      <c r="E6" s="11" t="n">
        <f aca="false">B6*C6*D6</f>
        <v>48000</v>
      </c>
      <c r="F6" s="12"/>
      <c r="G6" s="11" t="n">
        <f aca="false">E6</f>
        <v>48000</v>
      </c>
    </row>
    <row r="7" customFormat="false" ht="15" hidden="false" customHeight="true" outlineLevel="0" collapsed="false">
      <c r="A7" s="8" t="s">
        <v>12</v>
      </c>
      <c r="B7" s="9" t="n">
        <v>1</v>
      </c>
      <c r="C7" s="9" t="n">
        <v>35000</v>
      </c>
      <c r="D7" s="10" t="n">
        <v>1</v>
      </c>
      <c r="E7" s="11" t="n">
        <f aca="false">B7*C7*D7</f>
        <v>35000</v>
      </c>
      <c r="F7" s="12"/>
      <c r="G7" s="11" t="n">
        <f aca="false">E7</f>
        <v>35000</v>
      </c>
    </row>
    <row r="8" customFormat="false" ht="15" hidden="false" customHeight="true" outlineLevel="0" collapsed="false">
      <c r="A8" s="8" t="s">
        <v>13</v>
      </c>
      <c r="B8" s="9" t="n">
        <v>1</v>
      </c>
      <c r="C8" s="9" t="n">
        <v>8000</v>
      </c>
      <c r="D8" s="10" t="n">
        <v>3</v>
      </c>
      <c r="E8" s="11" t="n">
        <f aca="false">B8*C8*D8</f>
        <v>24000</v>
      </c>
      <c r="F8" s="12"/>
      <c r="G8" s="11" t="n">
        <f aca="false">E8</f>
        <v>24000</v>
      </c>
    </row>
    <row r="9" customFormat="false" ht="30" hidden="false" customHeight="true" outlineLevel="0" collapsed="false">
      <c r="A9" s="8" t="s">
        <v>14</v>
      </c>
      <c r="B9" s="9" t="n">
        <v>1</v>
      </c>
      <c r="C9" s="9" t="n">
        <v>12000</v>
      </c>
      <c r="D9" s="10" t="n">
        <v>1</v>
      </c>
      <c r="E9" s="11" t="n">
        <f aca="false">B9*C9*D9</f>
        <v>12000</v>
      </c>
      <c r="F9" s="12"/>
      <c r="G9" s="11" t="n">
        <f aca="false">E9</f>
        <v>12000</v>
      </c>
    </row>
    <row r="10" customFormat="false" ht="6" hidden="false" customHeight="true" outlineLevel="0" collapsed="false">
      <c r="A10" s="13"/>
      <c r="B10" s="13"/>
      <c r="C10" s="13"/>
      <c r="D10" s="13"/>
      <c r="E10" s="13"/>
      <c r="F10" s="13"/>
      <c r="G10" s="13"/>
    </row>
    <row r="11" customFormat="false" ht="15.75" hidden="false" customHeight="true" outlineLevel="0" collapsed="false">
      <c r="A11" s="3" t="s">
        <v>15</v>
      </c>
      <c r="B11" s="4"/>
      <c r="C11" s="4"/>
      <c r="D11" s="4"/>
      <c r="E11" s="4"/>
      <c r="F11" s="4"/>
      <c r="G11" s="5" t="n">
        <f aca="false">G12+G13+G14+G15+G16</f>
        <v>534600</v>
      </c>
    </row>
    <row r="12" customFormat="false" ht="15" hidden="false" customHeight="true" outlineLevel="0" collapsed="false">
      <c r="A12" s="8" t="s">
        <v>16</v>
      </c>
      <c r="B12" s="9" t="n">
        <v>1</v>
      </c>
      <c r="C12" s="9" t="n">
        <v>65000</v>
      </c>
      <c r="D12" s="10" t="n">
        <v>3</v>
      </c>
      <c r="E12" s="11" t="n">
        <f aca="false">B12*C12*D12</f>
        <v>195000</v>
      </c>
      <c r="F12" s="11" t="n">
        <f aca="false">E12*0.1</f>
        <v>19500</v>
      </c>
      <c r="G12" s="11" t="n">
        <f aca="false">E12+F12</f>
        <v>214500</v>
      </c>
    </row>
    <row r="13" customFormat="false" ht="15" hidden="false" customHeight="true" outlineLevel="0" collapsed="false">
      <c r="A13" s="8" t="s">
        <v>17</v>
      </c>
      <c r="B13" s="9" t="n">
        <v>1</v>
      </c>
      <c r="C13" s="9" t="n">
        <v>35000</v>
      </c>
      <c r="D13" s="10" t="n">
        <v>3</v>
      </c>
      <c r="E13" s="11" t="n">
        <f aca="false">B13*C13*D13</f>
        <v>105000</v>
      </c>
      <c r="F13" s="11" t="n">
        <f aca="false">E13*0.1</f>
        <v>10500</v>
      </c>
      <c r="G13" s="11" t="n">
        <f aca="false">E13+F13</f>
        <v>115500</v>
      </c>
    </row>
    <row r="14" customFormat="false" ht="15" hidden="false" customHeight="true" outlineLevel="0" collapsed="false">
      <c r="A14" s="8" t="s">
        <v>18</v>
      </c>
      <c r="B14" s="9" t="n">
        <v>1</v>
      </c>
      <c r="C14" s="9" t="n">
        <v>15000</v>
      </c>
      <c r="D14" s="10" t="n">
        <v>3</v>
      </c>
      <c r="E14" s="11" t="n">
        <f aca="false">B14*C14*D14</f>
        <v>45000</v>
      </c>
      <c r="F14" s="11" t="n">
        <f aca="false">E14*0.1</f>
        <v>4500</v>
      </c>
      <c r="G14" s="11" t="n">
        <f aca="false">E14+F14</f>
        <v>49500</v>
      </c>
    </row>
    <row r="15" customFormat="false" ht="30" hidden="false" customHeight="true" outlineLevel="0" collapsed="false">
      <c r="A15" s="8" t="s">
        <v>19</v>
      </c>
      <c r="B15" s="9" t="n">
        <v>100</v>
      </c>
      <c r="C15" s="9" t="n">
        <v>420</v>
      </c>
      <c r="D15" s="10" t="n">
        <v>3</v>
      </c>
      <c r="E15" s="11" t="n">
        <f aca="false">B15*C15*D15</f>
        <v>126000</v>
      </c>
      <c r="F15" s="11" t="n">
        <f aca="false">E15*0.1</f>
        <v>12600</v>
      </c>
      <c r="G15" s="11" t="n">
        <f aca="false">E15+F15</f>
        <v>138600</v>
      </c>
    </row>
    <row r="16" customFormat="false" ht="15" hidden="false" customHeight="true" outlineLevel="0" collapsed="false">
      <c r="A16" s="8" t="s">
        <v>20</v>
      </c>
      <c r="B16" s="9" t="n">
        <v>2</v>
      </c>
      <c r="C16" s="9" t="n">
        <v>2500</v>
      </c>
      <c r="D16" s="10" t="n">
        <v>3</v>
      </c>
      <c r="E16" s="11" t="n">
        <f aca="false">B16*C16*D16</f>
        <v>15000</v>
      </c>
      <c r="F16" s="11" t="n">
        <f aca="false">E16*0.1</f>
        <v>1500</v>
      </c>
      <c r="G16" s="11" t="n">
        <f aca="false">E16+F16</f>
        <v>16500</v>
      </c>
    </row>
    <row r="17" customFormat="false" ht="6" hidden="false" customHeight="true" outlineLevel="0" collapsed="false">
      <c r="A17" s="13"/>
      <c r="B17" s="13"/>
      <c r="C17" s="13"/>
      <c r="D17" s="13"/>
      <c r="E17" s="13"/>
      <c r="F17" s="13"/>
      <c r="G17" s="13"/>
    </row>
    <row r="18" customFormat="false" ht="15.75" hidden="false" customHeight="true" outlineLevel="0" collapsed="false">
      <c r="A18" s="3" t="s">
        <v>21</v>
      </c>
      <c r="B18" s="4"/>
      <c r="C18" s="4"/>
      <c r="D18" s="4"/>
      <c r="E18" s="4"/>
      <c r="F18" s="4"/>
      <c r="G18" s="5" t="n">
        <f aca="false">G19+G20+G21+G22</f>
        <v>138900</v>
      </c>
    </row>
    <row r="19" customFormat="false" ht="15" hidden="false" customHeight="true" outlineLevel="0" collapsed="false">
      <c r="A19" s="8" t="s">
        <v>22</v>
      </c>
      <c r="B19" s="9" t="n">
        <v>1</v>
      </c>
      <c r="C19" s="9" t="n">
        <v>15000</v>
      </c>
      <c r="D19" s="10" t="n">
        <v>3</v>
      </c>
      <c r="E19" s="11" t="n">
        <f aca="false">B19*C19*D19</f>
        <v>45000</v>
      </c>
      <c r="F19" s="11" t="n">
        <f aca="false">E19*0.1</f>
        <v>4500</v>
      </c>
      <c r="G19" s="11" t="n">
        <f aca="false">E19+F19</f>
        <v>49500</v>
      </c>
    </row>
    <row r="20" customFormat="false" ht="15" hidden="false" customHeight="true" outlineLevel="0" collapsed="false">
      <c r="A20" s="8" t="s">
        <v>23</v>
      </c>
      <c r="B20" s="9" t="n">
        <v>1</v>
      </c>
      <c r="C20" s="9" t="n">
        <v>12000</v>
      </c>
      <c r="D20" s="10" t="n">
        <v>3</v>
      </c>
      <c r="E20" s="11" t="n">
        <f aca="false">B20*C20*D20</f>
        <v>36000</v>
      </c>
      <c r="F20" s="11" t="n">
        <f aca="false">E20*0.1</f>
        <v>3600</v>
      </c>
      <c r="G20" s="11" t="n">
        <f aca="false">E20+F20</f>
        <v>39600</v>
      </c>
    </row>
    <row r="21" customFormat="false" ht="15" hidden="false" customHeight="true" outlineLevel="0" collapsed="false">
      <c r="A21" s="8" t="s">
        <v>24</v>
      </c>
      <c r="B21" s="9" t="n">
        <v>4</v>
      </c>
      <c r="C21" s="9" t="n">
        <v>1500</v>
      </c>
      <c r="D21" s="10" t="n">
        <v>3</v>
      </c>
      <c r="E21" s="11" t="n">
        <f aca="false">B21*C21*D21</f>
        <v>18000</v>
      </c>
      <c r="F21" s="11" t="n">
        <f aca="false">E21*0.1</f>
        <v>1800</v>
      </c>
      <c r="G21" s="11" t="n">
        <f aca="false">E21+F21</f>
        <v>19800</v>
      </c>
    </row>
    <row r="22" customFormat="false" ht="15" hidden="false" customHeight="true" outlineLevel="0" collapsed="false">
      <c r="A22" s="8" t="s">
        <v>25</v>
      </c>
      <c r="B22" s="9" t="n">
        <v>2</v>
      </c>
      <c r="C22" s="9" t="n">
        <v>5000</v>
      </c>
      <c r="D22" s="10" t="n">
        <v>3</v>
      </c>
      <c r="E22" s="11" t="n">
        <f aca="false">B22*C22*D22</f>
        <v>30000</v>
      </c>
      <c r="F22" s="12"/>
      <c r="G22" s="11" t="n">
        <f aca="false">E22</f>
        <v>30000</v>
      </c>
    </row>
    <row r="23" customFormat="false" ht="6" hidden="false" customHeight="true" outlineLevel="0" collapsed="false">
      <c r="A23" s="13"/>
      <c r="B23" s="13"/>
      <c r="C23" s="13"/>
      <c r="D23" s="13"/>
      <c r="E23" s="13"/>
      <c r="F23" s="13"/>
      <c r="G23" s="13"/>
    </row>
    <row r="24" customFormat="false" ht="15.75" hidden="false" customHeight="true" outlineLevel="0" collapsed="false">
      <c r="A24" s="3" t="s">
        <v>26</v>
      </c>
      <c r="B24" s="4"/>
      <c r="C24" s="4"/>
      <c r="D24" s="4"/>
      <c r="E24" s="4"/>
      <c r="F24" s="4"/>
      <c r="G24" s="5" t="n">
        <f aca="false">G25+G26+G28+G29+G30+G32+G33+G34+G35+G36</f>
        <v>150000</v>
      </c>
    </row>
    <row r="25" customFormat="false" ht="30" hidden="false" customHeight="true" outlineLevel="0" collapsed="false">
      <c r="A25" s="8" t="s">
        <v>27</v>
      </c>
      <c r="B25" s="9" t="n">
        <v>100</v>
      </c>
      <c r="C25" s="9" t="n">
        <v>1140</v>
      </c>
      <c r="D25" s="10" t="n">
        <v>1</v>
      </c>
      <c r="E25" s="11" t="n">
        <f aca="false">B25*C25*D25</f>
        <v>114000</v>
      </c>
      <c r="F25" s="12"/>
      <c r="G25" s="11" t="n">
        <f aca="false">E25</f>
        <v>114000</v>
      </c>
    </row>
    <row r="26" customFormat="false" ht="15" hidden="false" customHeight="true" outlineLevel="0" collapsed="false">
      <c r="A26" s="8" t="s">
        <v>28</v>
      </c>
      <c r="B26" s="9" t="n">
        <v>100</v>
      </c>
      <c r="C26" s="9" t="n">
        <v>160</v>
      </c>
      <c r="D26" s="10" t="n">
        <v>1</v>
      </c>
      <c r="E26" s="11" t="n">
        <f aca="false">B26*C26*D26</f>
        <v>16000</v>
      </c>
      <c r="F26" s="12"/>
      <c r="G26" s="11" t="n">
        <f aca="false">E26</f>
        <v>16000</v>
      </c>
    </row>
    <row r="27" customFormat="false" ht="13.5" hidden="false" customHeight="true" outlineLevel="0" collapsed="false">
      <c r="A27" s="14" t="s">
        <v>29</v>
      </c>
      <c r="B27" s="15"/>
      <c r="C27" s="15"/>
      <c r="D27" s="15"/>
      <c r="E27" s="15"/>
      <c r="F27" s="15"/>
      <c r="G27" s="15"/>
    </row>
    <row r="28" customFormat="false" ht="30" hidden="false" customHeight="true" outlineLevel="0" collapsed="false">
      <c r="A28" s="8" t="s">
        <v>30</v>
      </c>
      <c r="B28" s="9" t="n">
        <v>0</v>
      </c>
      <c r="C28" s="9" t="n">
        <v>0</v>
      </c>
      <c r="D28" s="10" t="n">
        <v>1</v>
      </c>
      <c r="E28" s="11" t="n">
        <v>0</v>
      </c>
      <c r="F28" s="12"/>
      <c r="G28" s="11" t="n">
        <v>0</v>
      </c>
    </row>
    <row r="29" customFormat="false" ht="15" hidden="false" customHeight="true" outlineLevel="0" collapsed="false">
      <c r="A29" s="8" t="s">
        <v>31</v>
      </c>
      <c r="B29" s="9" t="n">
        <v>0</v>
      </c>
      <c r="C29" s="9" t="n">
        <v>0</v>
      </c>
      <c r="D29" s="10" t="n">
        <v>0</v>
      </c>
      <c r="E29" s="11" t="n">
        <v>0</v>
      </c>
      <c r="F29" s="12"/>
      <c r="G29" s="11" t="n">
        <v>0</v>
      </c>
    </row>
    <row r="30" customFormat="false" ht="15" hidden="false" customHeight="true" outlineLevel="0" collapsed="false">
      <c r="A30" s="8" t="s">
        <v>32</v>
      </c>
      <c r="B30" s="9" t="n">
        <v>0</v>
      </c>
      <c r="C30" s="9" t="n">
        <v>0</v>
      </c>
      <c r="D30" s="10" t="n">
        <v>1</v>
      </c>
      <c r="E30" s="11" t="n">
        <v>0</v>
      </c>
      <c r="F30" s="12"/>
      <c r="G30" s="11" t="n">
        <v>0</v>
      </c>
    </row>
    <row r="31" customFormat="false" ht="13.5" hidden="false" customHeight="true" outlineLevel="0" collapsed="false">
      <c r="A31" s="14" t="s">
        <v>33</v>
      </c>
      <c r="B31" s="15"/>
      <c r="C31" s="15"/>
      <c r="D31" s="15"/>
      <c r="E31" s="15"/>
      <c r="F31" s="15"/>
      <c r="G31" s="15"/>
    </row>
    <row r="32" customFormat="false" ht="15" hidden="false" customHeight="true" outlineLevel="0" collapsed="false">
      <c r="A32" s="8" t="s">
        <v>30</v>
      </c>
      <c r="B32" s="9" t="n">
        <v>0</v>
      </c>
      <c r="C32" s="9" t="n">
        <v>0</v>
      </c>
      <c r="D32" s="10" t="n">
        <v>0</v>
      </c>
      <c r="E32" s="11" t="n">
        <v>0</v>
      </c>
      <c r="F32" s="12"/>
      <c r="G32" s="11" t="n">
        <v>0</v>
      </c>
    </row>
    <row r="33" customFormat="false" ht="15" hidden="false" customHeight="true" outlineLevel="0" collapsed="false">
      <c r="A33" s="8" t="s">
        <v>31</v>
      </c>
      <c r="B33" s="9" t="n">
        <v>0</v>
      </c>
      <c r="C33" s="9" t="n">
        <v>0</v>
      </c>
      <c r="D33" s="10" t="n">
        <v>0</v>
      </c>
      <c r="E33" s="11" t="n">
        <v>0</v>
      </c>
      <c r="F33" s="12"/>
      <c r="G33" s="11" t="n">
        <v>0</v>
      </c>
    </row>
    <row r="34" customFormat="false" ht="15" hidden="false" customHeight="true" outlineLevel="0" collapsed="false">
      <c r="A34" s="8" t="s">
        <v>32</v>
      </c>
      <c r="B34" s="9" t="n">
        <v>0</v>
      </c>
      <c r="C34" s="9" t="n">
        <v>0</v>
      </c>
      <c r="D34" s="10" t="n">
        <v>0</v>
      </c>
      <c r="E34" s="11" t="n">
        <v>0</v>
      </c>
      <c r="F34" s="12"/>
      <c r="G34" s="11" t="n">
        <v>0</v>
      </c>
    </row>
    <row r="35" customFormat="false" ht="15" hidden="false" customHeight="true" outlineLevel="0" collapsed="false">
      <c r="A35" s="8" t="s">
        <v>34</v>
      </c>
      <c r="B35" s="9" t="n">
        <v>2</v>
      </c>
      <c r="C35" s="9" t="n">
        <v>5000</v>
      </c>
      <c r="D35" s="10" t="n">
        <v>1</v>
      </c>
      <c r="E35" s="11" t="n">
        <f aca="false">B35*C35*D35</f>
        <v>10000</v>
      </c>
      <c r="F35" s="12"/>
      <c r="G35" s="11" t="n">
        <f aca="false">E35</f>
        <v>10000</v>
      </c>
    </row>
    <row r="36" customFormat="false" ht="15" hidden="false" customHeight="true" outlineLevel="0" collapsed="false">
      <c r="A36" s="8" t="s">
        <v>35</v>
      </c>
      <c r="B36" s="9" t="n">
        <v>1</v>
      </c>
      <c r="C36" s="9" t="n">
        <v>10000</v>
      </c>
      <c r="D36" s="10" t="n">
        <v>1</v>
      </c>
      <c r="E36" s="11" t="n">
        <f aca="false">B36*C36*D36</f>
        <v>10000</v>
      </c>
      <c r="F36" s="12"/>
      <c r="G36" s="11" t="n">
        <f aca="false">E36</f>
        <v>10000</v>
      </c>
    </row>
    <row r="37" customFormat="false" ht="6" hidden="false" customHeight="true" outlineLevel="0" collapsed="false">
      <c r="A37" s="13"/>
      <c r="B37" s="13"/>
      <c r="C37" s="13"/>
      <c r="D37" s="13"/>
      <c r="E37" s="13"/>
      <c r="F37" s="13"/>
      <c r="G37" s="13"/>
    </row>
    <row r="38" customFormat="false" ht="15.75" hidden="false" customHeight="true" outlineLevel="0" collapsed="false">
      <c r="A38" s="3" t="s">
        <v>36</v>
      </c>
      <c r="B38" s="4"/>
      <c r="C38" s="4"/>
      <c r="D38" s="4"/>
      <c r="E38" s="4"/>
      <c r="F38" s="4"/>
      <c r="G38" s="5" t="n">
        <f aca="false">G39+G40+G42+G43+G44+G46+G47+G48+G49+G50</f>
        <v>156000</v>
      </c>
    </row>
    <row r="39" customFormat="false" ht="30" hidden="false" customHeight="true" outlineLevel="0" collapsed="false">
      <c r="A39" s="8" t="s">
        <v>27</v>
      </c>
      <c r="B39" s="9" t="n">
        <v>100</v>
      </c>
      <c r="C39" s="9" t="n">
        <v>1260</v>
      </c>
      <c r="D39" s="10" t="n">
        <v>1</v>
      </c>
      <c r="E39" s="11" t="n">
        <f aca="false">B39*C39*D39</f>
        <v>126000</v>
      </c>
      <c r="F39" s="12"/>
      <c r="G39" s="11" t="n">
        <f aca="false">E39</f>
        <v>126000</v>
      </c>
    </row>
    <row r="40" customFormat="false" ht="15" hidden="false" customHeight="true" outlineLevel="0" collapsed="false">
      <c r="A40" s="8" t="s">
        <v>28</v>
      </c>
      <c r="B40" s="9" t="n">
        <v>100</v>
      </c>
      <c r="C40" s="9" t="n">
        <v>100</v>
      </c>
      <c r="D40" s="10" t="n">
        <v>1</v>
      </c>
      <c r="E40" s="11" t="n">
        <f aca="false">B40*C40*D40</f>
        <v>10000</v>
      </c>
      <c r="F40" s="12"/>
      <c r="G40" s="11" t="n">
        <f aca="false">E40</f>
        <v>10000</v>
      </c>
    </row>
    <row r="41" customFormat="false" ht="13.5" hidden="false" customHeight="true" outlineLevel="0" collapsed="false">
      <c r="A41" s="14" t="s">
        <v>29</v>
      </c>
      <c r="B41" s="15"/>
      <c r="C41" s="15"/>
      <c r="D41" s="15"/>
      <c r="E41" s="15"/>
      <c r="F41" s="15"/>
      <c r="G41" s="15"/>
    </row>
    <row r="42" customFormat="false" ht="30" hidden="false" customHeight="true" outlineLevel="0" collapsed="false">
      <c r="A42" s="8" t="s">
        <v>30</v>
      </c>
      <c r="B42" s="9" t="n">
        <v>0</v>
      </c>
      <c r="C42" s="9" t="n">
        <v>0</v>
      </c>
      <c r="D42" s="10" t="n">
        <v>1</v>
      </c>
      <c r="E42" s="11" t="n">
        <v>0</v>
      </c>
      <c r="F42" s="12"/>
      <c r="G42" s="11" t="n">
        <v>0</v>
      </c>
    </row>
    <row r="43" customFormat="false" ht="15" hidden="false" customHeight="true" outlineLevel="0" collapsed="false">
      <c r="A43" s="8" t="s">
        <v>31</v>
      </c>
      <c r="B43" s="9" t="n">
        <v>0</v>
      </c>
      <c r="C43" s="9" t="n">
        <v>0</v>
      </c>
      <c r="D43" s="10" t="n">
        <v>0</v>
      </c>
      <c r="E43" s="11" t="n">
        <v>0</v>
      </c>
      <c r="F43" s="12"/>
      <c r="G43" s="11" t="n">
        <v>0</v>
      </c>
    </row>
    <row r="44" customFormat="false" ht="15" hidden="false" customHeight="true" outlineLevel="0" collapsed="false">
      <c r="A44" s="8" t="s">
        <v>32</v>
      </c>
      <c r="B44" s="9" t="n">
        <v>0</v>
      </c>
      <c r="C44" s="9" t="n">
        <v>0</v>
      </c>
      <c r="D44" s="10" t="n">
        <v>1</v>
      </c>
      <c r="E44" s="11" t="n">
        <v>0</v>
      </c>
      <c r="F44" s="12"/>
      <c r="G44" s="11" t="n">
        <v>0</v>
      </c>
    </row>
    <row r="45" customFormat="false" ht="13.5" hidden="false" customHeight="true" outlineLevel="0" collapsed="false">
      <c r="A45" s="14" t="s">
        <v>33</v>
      </c>
      <c r="B45" s="15"/>
      <c r="C45" s="15"/>
      <c r="D45" s="15"/>
      <c r="E45" s="15"/>
      <c r="F45" s="15"/>
      <c r="G45" s="15"/>
    </row>
    <row r="46" customFormat="false" ht="15" hidden="false" customHeight="true" outlineLevel="0" collapsed="false">
      <c r="A46" s="8" t="s">
        <v>30</v>
      </c>
      <c r="B46" s="9" t="n">
        <v>0</v>
      </c>
      <c r="C46" s="9" t="n">
        <v>0</v>
      </c>
      <c r="D46" s="10" t="n">
        <v>0</v>
      </c>
      <c r="E46" s="11" t="n">
        <v>0</v>
      </c>
      <c r="F46" s="12"/>
      <c r="G46" s="11" t="n">
        <v>0</v>
      </c>
    </row>
    <row r="47" customFormat="false" ht="15" hidden="false" customHeight="true" outlineLevel="0" collapsed="false">
      <c r="A47" s="8" t="s">
        <v>31</v>
      </c>
      <c r="B47" s="9" t="n">
        <v>0</v>
      </c>
      <c r="C47" s="9" t="n">
        <v>0</v>
      </c>
      <c r="D47" s="10" t="n">
        <v>0</v>
      </c>
      <c r="E47" s="11" t="n">
        <v>0</v>
      </c>
      <c r="F47" s="12"/>
      <c r="G47" s="11" t="n">
        <v>0</v>
      </c>
    </row>
    <row r="48" customFormat="false" ht="15" hidden="false" customHeight="true" outlineLevel="0" collapsed="false">
      <c r="A48" s="8" t="s">
        <v>32</v>
      </c>
      <c r="B48" s="9" t="n">
        <v>0</v>
      </c>
      <c r="C48" s="9" t="n">
        <v>0</v>
      </c>
      <c r="D48" s="10" t="n">
        <v>0</v>
      </c>
      <c r="E48" s="11" t="n">
        <v>0</v>
      </c>
      <c r="F48" s="12"/>
      <c r="G48" s="11" t="n">
        <v>0</v>
      </c>
    </row>
    <row r="49" customFormat="false" ht="15" hidden="false" customHeight="true" outlineLevel="0" collapsed="false">
      <c r="A49" s="8" t="s">
        <v>34</v>
      </c>
      <c r="B49" s="9" t="n">
        <v>2</v>
      </c>
      <c r="C49" s="9" t="n">
        <v>5000</v>
      </c>
      <c r="D49" s="10" t="n">
        <v>1</v>
      </c>
      <c r="E49" s="11" t="n">
        <f aca="false">B49*C49*D49</f>
        <v>10000</v>
      </c>
      <c r="F49" s="12"/>
      <c r="G49" s="11" t="n">
        <f aca="false">E49</f>
        <v>10000</v>
      </c>
    </row>
    <row r="50" customFormat="false" ht="15" hidden="false" customHeight="true" outlineLevel="0" collapsed="false">
      <c r="A50" s="8" t="s">
        <v>35</v>
      </c>
      <c r="B50" s="9" t="n">
        <v>1</v>
      </c>
      <c r="C50" s="9" t="n">
        <v>10000</v>
      </c>
      <c r="D50" s="10" t="n">
        <v>1</v>
      </c>
      <c r="E50" s="11" t="n">
        <f aca="false">B50*C50*D50</f>
        <v>10000</v>
      </c>
      <c r="F50" s="12"/>
      <c r="G50" s="11" t="n">
        <f aca="false">E50</f>
        <v>10000</v>
      </c>
    </row>
    <row r="51" customFormat="false" ht="6" hidden="false" customHeight="true" outlineLevel="0" collapsed="false">
      <c r="A51" s="13"/>
      <c r="B51" s="13"/>
      <c r="C51" s="13"/>
      <c r="D51" s="13"/>
      <c r="E51" s="13"/>
      <c r="F51" s="13"/>
      <c r="G51" s="13"/>
    </row>
    <row r="52" customFormat="false" ht="15.75" hidden="false" customHeight="true" outlineLevel="0" collapsed="false">
      <c r="A52" s="3" t="s">
        <v>37</v>
      </c>
      <c r="B52" s="4"/>
      <c r="C52" s="4"/>
      <c r="D52" s="4"/>
      <c r="E52" s="4"/>
      <c r="F52" s="4"/>
      <c r="G52" s="5" t="n">
        <f aca="false">G53+G54+G56+G57+G58+G60+G61+G62+G63+G64</f>
        <v>193000</v>
      </c>
    </row>
    <row r="53" customFormat="false" ht="30" hidden="false" customHeight="true" outlineLevel="0" collapsed="false">
      <c r="A53" s="8" t="s">
        <v>27</v>
      </c>
      <c r="B53" s="9" t="n">
        <v>100</v>
      </c>
      <c r="C53" s="9" t="n">
        <v>1300</v>
      </c>
      <c r="D53" s="10" t="n">
        <v>1</v>
      </c>
      <c r="E53" s="11" t="n">
        <f aca="false">B53*C53*D53</f>
        <v>130000</v>
      </c>
      <c r="F53" s="12"/>
      <c r="G53" s="11" t="n">
        <f aca="false">E53</f>
        <v>130000</v>
      </c>
    </row>
    <row r="54" customFormat="false" ht="15" hidden="false" customHeight="true" outlineLevel="0" collapsed="false">
      <c r="A54" s="8" t="s">
        <v>28</v>
      </c>
      <c r="B54" s="9" t="n">
        <v>100</v>
      </c>
      <c r="C54" s="9" t="n">
        <v>130</v>
      </c>
      <c r="D54" s="10" t="n">
        <v>1</v>
      </c>
      <c r="E54" s="11" t="n">
        <f aca="false">B54*C54*D54</f>
        <v>13000</v>
      </c>
      <c r="F54" s="12"/>
      <c r="G54" s="11" t="n">
        <f aca="false">E54</f>
        <v>13000</v>
      </c>
    </row>
    <row r="55" customFormat="false" ht="13.5" hidden="false" customHeight="true" outlineLevel="0" collapsed="false">
      <c r="A55" s="14" t="s">
        <v>29</v>
      </c>
      <c r="B55" s="15"/>
      <c r="C55" s="15"/>
      <c r="D55" s="15"/>
      <c r="E55" s="15"/>
      <c r="F55" s="15"/>
      <c r="G55" s="15"/>
    </row>
    <row r="56" customFormat="false" ht="30" hidden="false" customHeight="true" outlineLevel="0" collapsed="false">
      <c r="A56" s="8" t="s">
        <v>38</v>
      </c>
      <c r="B56" s="9" t="n">
        <v>0</v>
      </c>
      <c r="C56" s="9" t="n">
        <v>0</v>
      </c>
      <c r="D56" s="10" t="n">
        <v>1</v>
      </c>
      <c r="E56" s="11" t="n">
        <v>0</v>
      </c>
      <c r="F56" s="12"/>
      <c r="G56" s="11" t="n">
        <v>0</v>
      </c>
    </row>
    <row r="57" customFormat="false" ht="15" hidden="false" customHeight="true" outlineLevel="0" collapsed="false">
      <c r="A57" s="8" t="s">
        <v>31</v>
      </c>
      <c r="B57" s="9" t="n">
        <v>0</v>
      </c>
      <c r="C57" s="9" t="n">
        <v>0</v>
      </c>
      <c r="D57" s="10" t="n">
        <v>0</v>
      </c>
      <c r="E57" s="11" t="n">
        <v>0</v>
      </c>
      <c r="F57" s="12"/>
      <c r="G57" s="11" t="n">
        <v>0</v>
      </c>
    </row>
    <row r="58" customFormat="false" ht="15" hidden="false" customHeight="true" outlineLevel="0" collapsed="false">
      <c r="A58" s="8" t="s">
        <v>32</v>
      </c>
      <c r="B58" s="9" t="n">
        <v>0</v>
      </c>
      <c r="C58" s="9" t="n">
        <v>0</v>
      </c>
      <c r="D58" s="10" t="n">
        <v>1</v>
      </c>
      <c r="E58" s="11" t="n">
        <v>0</v>
      </c>
      <c r="F58" s="12"/>
      <c r="G58" s="11" t="n">
        <v>0</v>
      </c>
    </row>
    <row r="59" customFormat="false" ht="13.5" hidden="false" customHeight="true" outlineLevel="0" collapsed="false">
      <c r="A59" s="14" t="s">
        <v>33</v>
      </c>
      <c r="B59" s="15"/>
      <c r="C59" s="15"/>
      <c r="D59" s="15"/>
      <c r="E59" s="15"/>
      <c r="F59" s="15"/>
      <c r="G59" s="15"/>
    </row>
    <row r="60" customFormat="false" ht="15" hidden="false" customHeight="true" outlineLevel="0" collapsed="false">
      <c r="A60" s="8" t="s">
        <v>38</v>
      </c>
      <c r="B60" s="9" t="n">
        <v>0</v>
      </c>
      <c r="C60" s="9" t="n">
        <v>0</v>
      </c>
      <c r="D60" s="10" t="n">
        <v>0</v>
      </c>
      <c r="E60" s="11" t="n">
        <v>0</v>
      </c>
      <c r="F60" s="12"/>
      <c r="G60" s="11" t="n">
        <v>0</v>
      </c>
    </row>
    <row r="61" customFormat="false" ht="15" hidden="false" customHeight="true" outlineLevel="0" collapsed="false">
      <c r="A61" s="8" t="s">
        <v>31</v>
      </c>
      <c r="B61" s="9" t="n">
        <v>0</v>
      </c>
      <c r="C61" s="9" t="n">
        <v>0</v>
      </c>
      <c r="D61" s="10" t="n">
        <v>0</v>
      </c>
      <c r="E61" s="11" t="n">
        <v>0</v>
      </c>
      <c r="F61" s="12"/>
      <c r="G61" s="11" t="n">
        <v>0</v>
      </c>
    </row>
    <row r="62" customFormat="false" ht="15" hidden="false" customHeight="true" outlineLevel="0" collapsed="false">
      <c r="A62" s="8" t="s">
        <v>32</v>
      </c>
      <c r="B62" s="9" t="n">
        <v>0</v>
      </c>
      <c r="C62" s="9" t="n">
        <v>0</v>
      </c>
      <c r="D62" s="10" t="n">
        <v>0</v>
      </c>
      <c r="E62" s="11" t="n">
        <v>0</v>
      </c>
      <c r="F62" s="12"/>
      <c r="G62" s="11" t="n">
        <v>0</v>
      </c>
    </row>
    <row r="63" customFormat="false" ht="15" hidden="false" customHeight="true" outlineLevel="0" collapsed="false">
      <c r="A63" s="8" t="s">
        <v>39</v>
      </c>
      <c r="B63" s="9" t="n">
        <v>2</v>
      </c>
      <c r="C63" s="9" t="n">
        <v>10000</v>
      </c>
      <c r="D63" s="10" t="n">
        <v>1</v>
      </c>
      <c r="E63" s="11" t="n">
        <f aca="false">B63*C63*D63</f>
        <v>20000</v>
      </c>
      <c r="F63" s="12"/>
      <c r="G63" s="11" t="n">
        <f aca="false">E63</f>
        <v>20000</v>
      </c>
    </row>
    <row r="64" customFormat="false" ht="15" hidden="false" customHeight="true" outlineLevel="0" collapsed="false">
      <c r="A64" s="8" t="s">
        <v>35</v>
      </c>
      <c r="B64" s="9" t="n">
        <v>1</v>
      </c>
      <c r="C64" s="9" t="n">
        <v>30000</v>
      </c>
      <c r="D64" s="10" t="n">
        <v>1</v>
      </c>
      <c r="E64" s="11" t="n">
        <f aca="false">B64*C64*D64</f>
        <v>30000</v>
      </c>
      <c r="F64" s="12"/>
      <c r="G64" s="11" t="n">
        <f aca="false">E64</f>
        <v>30000</v>
      </c>
    </row>
    <row r="65" customFormat="false" ht="6" hidden="false" customHeight="true" outlineLevel="0" collapsed="false">
      <c r="A65" s="13"/>
      <c r="B65" s="13"/>
      <c r="C65" s="13"/>
      <c r="D65" s="13"/>
      <c r="E65" s="13"/>
      <c r="F65" s="13"/>
      <c r="G65" s="13"/>
    </row>
    <row r="66" customFormat="false" ht="15" hidden="false" customHeight="true" outlineLevel="0" collapsed="false">
      <c r="A66" s="16" t="s">
        <v>40</v>
      </c>
      <c r="B66" s="7" t="s">
        <v>41</v>
      </c>
      <c r="C66" s="7"/>
      <c r="D66" s="7"/>
      <c r="E66" s="7"/>
      <c r="F66" s="7"/>
      <c r="G66" s="17" t="n">
        <v>145000</v>
      </c>
    </row>
    <row r="67" customFormat="false" ht="6" hidden="false" customHeight="true" outlineLevel="0" collapsed="false">
      <c r="A67" s="13"/>
      <c r="B67" s="13"/>
      <c r="C67" s="13"/>
      <c r="D67" s="13"/>
      <c r="E67" s="13"/>
      <c r="F67" s="13"/>
      <c r="G67" s="13"/>
    </row>
    <row r="68" customFormat="false" ht="19.5" hidden="false" customHeight="true" outlineLevel="0" collapsed="false">
      <c r="A68" s="18" t="s">
        <v>42</v>
      </c>
      <c r="B68" s="18"/>
      <c r="C68" s="18"/>
      <c r="D68" s="18"/>
      <c r="E68" s="18"/>
      <c r="F68" s="18"/>
      <c r="G68" s="19" t="n">
        <f aca="false">G3+G11+G18+G24+G38+G52</f>
        <v>1291500</v>
      </c>
    </row>
    <row r="70" customFormat="false" ht="18" hidden="false" customHeight="true" outlineLevel="0" collapsed="false">
      <c r="A70" s="20" t="s">
        <v>43</v>
      </c>
      <c r="B70" s="20"/>
      <c r="C70" s="20"/>
      <c r="D70" s="20"/>
      <c r="E70" s="20"/>
      <c r="F70" s="20"/>
      <c r="G70" s="20"/>
    </row>
  </sheetData>
  <mergeCells count="3">
    <mergeCell ref="A1:G1"/>
    <mergeCell ref="A68:F68"/>
    <mergeCell ref="A70:G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2026-04-10T01:44:50Z</dcterms:created>
  <dc:creator>openpyxl</dc:creator>
  <dc:description/>
  <dc:language>en-US</dc:language>
  <cp:lastModifiedBy/>
  <dcterms:modified xsi:type="dcterms:W3CDTF">2026-04-10T01:44:50Z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