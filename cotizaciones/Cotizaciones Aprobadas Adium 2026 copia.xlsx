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Grupo Consultivo" sheetId="1" r:id="rId5"/>
    <sheet name="EXpert Tour Demus - BelAir" sheetId="2" r:id="rId6"/>
    <sheet name="Summit D" sheetId="3" r:id="rId7"/>
    <sheet name="Summit D-FIESTA INN" sheetId="4" r:id="rId8"/>
    <sheet name="TopGin" sheetId="5" r:id="rId9"/>
    <sheet name="Trexen Duo" sheetId="6" r:id="rId10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<sst xmlns="http://schemas.openxmlformats.org/spreadsheetml/2006/main" uniqueCount="178">
  <si>
    <t>Grupo Consultivo</t>
  </si>
  <si>
    <t>CANTIDAD</t>
  </si>
  <si>
    <t>COSTO UNITARIO</t>
  </si>
  <si>
    <t>EDICIONES</t>
  </si>
  <si>
    <t>SUBTOTAL</t>
  </si>
  <si>
    <t>FEE APLICABLE 10%</t>
  </si>
  <si>
    <t>Total
(sin IVA)</t>
  </si>
  <si>
    <t xml:space="preserve">NH COLLECTION Aeropuerto </t>
  </si>
  <si>
    <t xml:space="preserve">Día 1 </t>
  </si>
  <si>
    <t>Comida 3 tiempos, incluye: Sopa o ensalada, plato fuerte con guarnición, postre.</t>
  </si>
  <si>
    <t xml:space="preserve">Barra de bebidas sin alcohol: Naranjada, limonada, refrescos </t>
  </si>
  <si>
    <t>Coffee break: Café americano, te, agua, refrescos, botana seca (papas, palomitas), panadería petit o galletas.</t>
  </si>
  <si>
    <t>Cena 3 tiempos, incluye:  Sopa o ensalada, plato fuerte con guarnición, postre.</t>
  </si>
  <si>
    <t>Día 2</t>
  </si>
  <si>
    <t>Desayuno, incluye: Plato de fruta, plato fuerte,2 opciones de jugo, pan de dulce, café o te.</t>
  </si>
  <si>
    <t xml:space="preserve">Coffee break: Café americano, te, agua, refrescos, botana seca (papas, palomitas), panadería petit o galletas más complementos. </t>
  </si>
  <si>
    <t>EQUIPO AUDIOVISUAL Y APOYO</t>
  </si>
  <si>
    <t xml:space="preserve">Proyector </t>
  </si>
  <si>
    <t xml:space="preserve">Audio </t>
  </si>
  <si>
    <t xml:space="preserve">Micrófonos </t>
  </si>
  <si>
    <t>Personal de coordinación</t>
  </si>
  <si>
    <t xml:space="preserve">Traslado Ponentes </t>
  </si>
  <si>
    <t>Vuelo MTY - CDMX  (AEROMEXICO, maleta documentada de 25 kg, equipaje de mano, asiento designado, cambio permitido, reembolsable, impuestos incluidos)</t>
  </si>
  <si>
    <t>Vuelo GDL  - CDMX  (AEROMEXICO, maleta documentada de 25 kg, equipaje de mano, asiento designado, cambio permitido, reembolsable, impuestos incluidos)</t>
  </si>
  <si>
    <t>Vuelo León  - CDMX  (AEROMEXICO, maleta documentada de 25 kg, equipaje de mano, asiento designado, cambio permitido, reembolsable, impuestos incluidos)</t>
  </si>
  <si>
    <t>Hospedaje: estancia 1 noche</t>
  </si>
  <si>
    <t>Total (No incluye IVA)</t>
  </si>
  <si>
    <t xml:space="preserve">Expert Tour Demus </t>
  </si>
  <si>
    <t>1. Concepto y tematización - Producción</t>
  </si>
  <si>
    <t>CORTESIA</t>
  </si>
  <si>
    <t>CONCEPTO CREATIVO - INCLUIDO EN PAQUETE</t>
  </si>
  <si>
    <t>CAMPAÑA PREEVENTO - DISEÑO DE CONCEPTOS PARA CAMPAÑA DE INVITACIÓN ELECTRÓNICA. VIDEO DE INVITACIÓN Y GRÁFICOS PARA VISUALES</t>
  </si>
  <si>
    <t>PRODUCCIÓN DIGITAL DE CLIP ANIMADO - CORTOMETRAJE DE DOS MINUTOS MÁXIMO. INCLUYE PRODUCCIÓN DE HISTORIA, GUIÓN, DISEÑO DE PERSONAJES, DISEÑO DE ANIMACIONES, EDICIÓN, LOCUCIÓN, MUSICALIZACIÓN Y SINCRONIZACIÓN CON ILUMINACIÓN PERIMETRAL.</t>
  </si>
  <si>
    <t>2. Producción de evento/dinámica en sede</t>
  </si>
  <si>
    <t>RENTA DE MÓDULO PARA SISTEMA DE MESA DIGITAL PARA SEIS COMENSALES POR CADA EDICIÓN. CON ILUMINACIÓN RESPONSIVA,  INCLUYE CABLEADO, CONEXIONES EN RED MANEJO TÉCNICO.</t>
  </si>
  <si>
    <t>EQUIPO AUDIOVISUAL PARA PRESENTACIÓN DE PONENTE Y SESIÓN DE PREGUNTAS. PANTALLA, PROYECTOR, SISTEMA DE AUDIO Y TRES MICRÓFONOS.</t>
  </si>
  <si>
    <t>ROLLUPS DE BIENVENIDA/SEÑALIZACIÓN POR SEDE</t>
  </si>
  <si>
    <t>3. Sedes</t>
  </si>
  <si>
    <t>CDMX - Bel Air - 26 de febrero 2026</t>
  </si>
  <si>
    <r>
      <rPr>
        <sz val="10"/>
        <color indexed="8"/>
        <rFont val="Gotham Book"/>
      </rPr>
      <t xml:space="preserve">Hospedaje: estancia 1 noche (ponente) - </t>
    </r>
    <r>
      <rPr>
        <sz val="10"/>
        <color indexed="20"/>
        <rFont val="Gotham Book"/>
      </rPr>
      <t>EN CORTESÍA</t>
    </r>
  </si>
  <si>
    <r>
      <rPr>
        <sz val="10"/>
        <color indexed="8"/>
        <rFont val="Gotham Book"/>
      </rPr>
      <t xml:space="preserve">Traslado de ponentes (aeropuerto-hotel-aeropuerto) - </t>
    </r>
    <r>
      <rPr>
        <sz val="10"/>
        <color indexed="20"/>
        <rFont val="Gotham Book"/>
      </rPr>
      <t>EN CORTESÍA</t>
    </r>
  </si>
  <si>
    <t>Cena 3 tiempos, incluye: Sopa, plato fuerte con guarnición, postre.</t>
  </si>
  <si>
    <t xml:space="preserve">Dos copas de vino o dos cervezas por persona </t>
  </si>
  <si>
    <t xml:space="preserve">Estacionamiento </t>
  </si>
  <si>
    <t>Personal técnico de proyección y audio</t>
  </si>
  <si>
    <t>Personal Montaje</t>
  </si>
  <si>
    <t>Traslado de producción</t>
  </si>
  <si>
    <t xml:space="preserve">GDL - Hotel RIU Plaza - 04 de junio 2026 </t>
  </si>
  <si>
    <t>MTY - Barceló (antes Camino Real MTY)- 3 de septiembre de 2026</t>
  </si>
  <si>
    <r>
      <rPr>
        <sz val="14"/>
        <color indexed="8"/>
        <rFont val="Gotham Bold"/>
      </rPr>
      <t xml:space="preserve">1. Concepto y tematización </t>
    </r>
    <r>
      <rPr>
        <sz val="14"/>
        <color indexed="20"/>
        <rFont val="Gotham Bold"/>
      </rPr>
      <t>EN CORTESÍA</t>
    </r>
  </si>
  <si>
    <t>Monto real (ahorrado en cortesía)</t>
  </si>
  <si>
    <r>
      <rPr>
        <sz val="11"/>
        <color indexed="8"/>
        <rFont val="Gotham Bold"/>
      </rPr>
      <t>CORTESIA</t>
    </r>
  </si>
  <si>
    <r>
      <rPr>
        <sz val="14"/>
        <color indexed="8"/>
        <rFont val="Gotham Bold"/>
      </rPr>
      <t xml:space="preserve">2. Producción de evento/dinámica  </t>
    </r>
    <r>
      <rPr>
        <sz val="14"/>
        <color indexed="20"/>
        <rFont val="Gotham Bold"/>
      </rPr>
      <t>EN CORTESÍA</t>
    </r>
  </si>
  <si>
    <t>Ahorro total</t>
  </si>
  <si>
    <t>Hormonal Summit D</t>
  </si>
  <si>
    <t xml:space="preserve">Por definir al cierre </t>
  </si>
  <si>
    <t>Cortesías</t>
  </si>
  <si>
    <t>CONCEPTO Y PRODUCCIONES DIGITALES</t>
  </si>
  <si>
    <r>
      <rPr>
        <sz val="10"/>
        <color indexed="8"/>
        <rFont val="Avenir Heavy"/>
      </rPr>
      <t>Concepto creativo</t>
    </r>
    <r>
      <rPr>
        <sz val="10"/>
        <color indexed="8"/>
        <rFont val="Avenir Book"/>
      </rPr>
      <t xml:space="preserve"> (Cortesía en paquete)</t>
    </r>
  </si>
  <si>
    <r>
      <rPr>
        <sz val="10"/>
        <color indexed="8"/>
        <rFont val="Avenir Heavy"/>
      </rPr>
      <t xml:space="preserve">Sistema digital de comunicación de asistente </t>
    </r>
    <r>
      <rPr>
        <sz val="10"/>
        <color indexed="8"/>
        <rFont val="Avenir Book"/>
      </rPr>
      <t>(Cortesía en paquete)</t>
    </r>
  </si>
  <si>
    <r>
      <rPr>
        <sz val="10"/>
        <color indexed="8"/>
        <rFont val="Avenir Heavy"/>
      </rPr>
      <t xml:space="preserve">Producción Campaña pre-evento
</t>
    </r>
    <r>
      <rPr>
        <sz val="10"/>
        <color indexed="8"/>
        <rFont val="Avenir Book"/>
      </rPr>
      <t xml:space="preserve">Save the date
</t>
    </r>
    <r>
      <rPr>
        <sz val="10"/>
        <color indexed="8"/>
        <rFont val="Avenir Book"/>
      </rPr>
      <t xml:space="preserve">Video teaser personalizado a cada sede de acuerdo al concepto aprobado
</t>
    </r>
    <r>
      <rPr>
        <sz val="10"/>
        <color indexed="8"/>
        <rFont val="Avenir Book"/>
      </rPr>
      <t xml:space="preserve">Invitación
</t>
    </r>
    <r>
      <rPr>
        <sz val="10"/>
        <color indexed="8"/>
        <rFont val="Avenir Book"/>
      </rPr>
      <t>Reminder</t>
    </r>
  </si>
  <si>
    <r>
      <rPr>
        <sz val="10"/>
        <color indexed="8"/>
        <rFont val="Avenir Heavy"/>
      </rPr>
      <t xml:space="preserve">Producción de contenidos en video
</t>
    </r>
    <r>
      <rPr>
        <sz val="10"/>
        <color indexed="8"/>
        <rFont val="Avenir Book"/>
      </rPr>
      <t xml:space="preserve">Cortinilla de bienvenida
</t>
    </r>
    <r>
      <rPr>
        <sz val="10"/>
        <color indexed="8"/>
        <rFont val="Avenir Book"/>
      </rPr>
      <t xml:space="preserve">Cortinilla de cada bloque
</t>
    </r>
    <r>
      <rPr>
        <sz val="10"/>
        <color indexed="8"/>
        <rFont val="Avenir Book"/>
      </rPr>
      <t xml:space="preserve">Animaciones de fondo para cada bloque
</t>
    </r>
    <r>
      <rPr>
        <sz val="10"/>
        <color indexed="8"/>
        <rFont val="Avenir Book"/>
      </rPr>
      <t>Presentaciones personalizadas para cada ponente</t>
    </r>
  </si>
  <si>
    <t>Libreta con imagen del evento de 16 x 20, pasta dura 100 hojas y pluma con diseño del eventos</t>
  </si>
  <si>
    <t>PRODUCCION (ONE TIME)</t>
  </si>
  <si>
    <t>ACCESO</t>
  </si>
  <si>
    <t>Mampara back de registro y foto (con mesa de registro)</t>
  </si>
  <si>
    <t>Vestíbulo de talleres</t>
  </si>
  <si>
    <t xml:space="preserve">Rollup retractil con estructura impreso en lona </t>
  </si>
  <si>
    <t>NÓDULO A - Salud Mental</t>
  </si>
  <si>
    <t>Mampara impresa</t>
  </si>
  <si>
    <t>Mobiliario</t>
  </si>
  <si>
    <t>Rollup de bienvenida</t>
  </si>
  <si>
    <t>Placas de imagenes para gobo</t>
  </si>
  <si>
    <t xml:space="preserve">NÓDULO B - Salud Metabólica </t>
  </si>
  <si>
    <t>NÓDULO C - Oncología</t>
  </si>
  <si>
    <t xml:space="preserve">NÓDULO D - Salud Femenina y Masculina </t>
  </si>
  <si>
    <t>DETALLE DE PAQUETE ESTANDAR POR SEDE</t>
  </si>
  <si>
    <t>PLENARIA</t>
  </si>
  <si>
    <t>Pantalla de led 7x3, P2.6mm (Total 21mts), Procesador de video, Cableado, Tarima con faldón negro, incluye día de montaje y pruebas previas</t>
  </si>
  <si>
    <t>Rack básico de video (Laptops Gamer, Licencias Resolume/Vmix, Interfaz Maudio, Switcher Roland, Cliker) con Monitor multiview, 01 Monitor preview 55", Base a piso, Cableado</t>
  </si>
  <si>
    <t>Iluminación 10 Parleds 54x3 RGBA, 04 Mini Leekos y Truss MK para iluminación</t>
  </si>
  <si>
    <t>Centro de carga profesional con 30mts de feeder</t>
  </si>
  <si>
    <t>Tapanco para escenario</t>
  </si>
  <si>
    <t>1 Sistemas de audio Bose F1, Consola Allen &amp; Heath SQ5, 06 Micrófonos Shure, Música ambiental, House, Cableado</t>
  </si>
  <si>
    <t>Sistema de cuatro micrófonos y Set de antenas y distribuidor Shure</t>
  </si>
  <si>
    <t>Sistema de audio para 20 personas</t>
  </si>
  <si>
    <t>Sistema de tres micrófonos y Set de antenas y distribuidor Shure</t>
  </si>
  <si>
    <t>Pantalla de 80” con pedestal</t>
  </si>
  <si>
    <t>Gobos para logos</t>
  </si>
  <si>
    <t>Iluminación</t>
  </si>
  <si>
    <t xml:space="preserve">Mantel impreso </t>
  </si>
  <si>
    <t>SEDES</t>
  </si>
  <si>
    <t xml:space="preserve">RIU Plaza Guadalajara - 16 de abril </t>
  </si>
  <si>
    <t>Alimentos y servicios</t>
  </si>
  <si>
    <t xml:space="preserve">Desayuno: fruta de temporada con grano y miel, plato fuerte a elegir, café o te, 2 opciones de jugo de fruta. </t>
  </si>
  <si>
    <t xml:space="preserve">Coffee break - Café americano, te, agua, refrescos, mini quesadillas y cuernitos, botana seca (papas, palomitas), panadería petit o galletas. </t>
  </si>
  <si>
    <t xml:space="preserve">Comida 3 tiempos, incluye: Sopa o ensalada, plato fuerte y postre </t>
  </si>
  <si>
    <t xml:space="preserve">Barra de bebidas sin alcohol: Naranjada, limonada, refrescos  </t>
  </si>
  <si>
    <t>Vuelo (AEROMEXICO, maleta documentada de 25 kg, equipaje de mano, asiento designado, cambio permitido, reembolsable, impuestos incluidos)</t>
  </si>
  <si>
    <t xml:space="preserve">Transporte terrestre (Aeropuerto - sede / sede - aeropuerto) </t>
  </si>
  <si>
    <t>Hospedaje: estancia 1 noche, desayuno incluido</t>
  </si>
  <si>
    <t xml:space="preserve">Traslado staff ADIUM </t>
  </si>
  <si>
    <t>Staff de coordinación y producción</t>
  </si>
  <si>
    <t>Staff de coordinación</t>
  </si>
  <si>
    <t>Staff de producción y montaje</t>
  </si>
  <si>
    <t>Staff Técnico</t>
  </si>
  <si>
    <t>Hostess</t>
  </si>
  <si>
    <t xml:space="preserve">Antigua Hacieda Tlalpan - 21 de abril </t>
  </si>
  <si>
    <t xml:space="preserve">Hacienda los morales - 22 de abril </t>
  </si>
  <si>
    <t xml:space="preserve">MTY - Barcelo MTY (antes Camino Real) - 30 de abril  </t>
  </si>
  <si>
    <t>4</t>
  </si>
  <si>
    <t>EN CORTESÍA</t>
  </si>
  <si>
    <t>TOTAL (NO INCLUYE IVA)</t>
  </si>
  <si>
    <r>
      <rPr>
        <sz val="10"/>
        <color indexed="8"/>
        <rFont val="Avenir Book"/>
      </rPr>
      <t xml:space="preserve">*Nota: El servicio de estacionamiento </t>
    </r>
    <r>
      <rPr>
        <sz val="10"/>
        <color indexed="8"/>
        <rFont val="Avenir Heavy"/>
      </rPr>
      <t xml:space="preserve">no está sumando </t>
    </r>
    <r>
      <rPr>
        <sz val="10"/>
        <color indexed="8"/>
        <rFont val="Avenir Book"/>
      </rPr>
      <t>en el total de esta cotización. Se cobrará como un adicional al finalizar el evento, basándose en la cantidad real de boletos utilizados.</t>
    </r>
  </si>
  <si>
    <t>Vital D</t>
  </si>
  <si>
    <t xml:space="preserve">Fiesta Americana Guadalajara - 16 de abril </t>
  </si>
  <si>
    <t>Top·Gin La Forja del Carácter</t>
  </si>
  <si>
    <t>DIAS</t>
  </si>
  <si>
    <t>Kit de bienvenida ( Gafette de asistente con cordón sublimado con imagen del evento, Libreta con imagen del evento de 16 x 20, pasta dura 100 hojas y pluma con diseño del eventos)</t>
  </si>
  <si>
    <r>
      <rPr>
        <sz val="10"/>
        <color indexed="8"/>
        <rFont val="Avenir Heavy"/>
      </rPr>
      <t xml:space="preserve">Videos y cortinillas
</t>
    </r>
    <r>
      <rPr>
        <sz val="10"/>
        <color indexed="8"/>
        <rFont val="Avenir Book"/>
      </rPr>
      <t xml:space="preserve">Video de bienvenida
</t>
    </r>
    <r>
      <rPr>
        <sz val="10"/>
        <color indexed="8"/>
        <rFont val="Avenir Book"/>
      </rPr>
      <t xml:space="preserve">Cortinillas de presentación por bloque
</t>
    </r>
    <r>
      <rPr>
        <sz val="10"/>
        <color indexed="8"/>
        <rFont val="Avenir Book"/>
      </rPr>
      <t xml:space="preserve">
</t>
    </r>
    <r>
      <rPr>
        <sz val="10"/>
        <color indexed="8"/>
        <rFont val="Avenir Heavy"/>
      </rPr>
      <t>Diseño y producción de dinámica de logros para Rally</t>
    </r>
  </si>
  <si>
    <t>PRODUCCION</t>
  </si>
  <si>
    <t>Rollups de bienvenida y señalización</t>
  </si>
  <si>
    <t>Pantalla de led 5x2m, P2.6mm (Total 10mts), Procesador de video, Cableado, Tarima con faldón negro, incluye día de montaje y pruebas previas</t>
  </si>
  <si>
    <t>Iluminación 4 Parleds 54x3 RGBA, 04 Mini Leekos y Truss MK para iluminación</t>
  </si>
  <si>
    <t>Pendones colgantes con motivos mexicanos y branding</t>
  </si>
  <si>
    <t>Mobiliario de actividad</t>
  </si>
  <si>
    <t>Talleres de Experiencia Práctica (minería) con asesoría, ingredientes, montaje e instrumentos. Incluye participación en Rally y fragua.</t>
  </si>
  <si>
    <t>Dinámica de la fragua en Debrieffing de Fogata - Ceremonia con sistema mapping y sonido.</t>
  </si>
  <si>
    <t>HOTEL MISIÓN LA MURALLA. AMELACO, QRO</t>
  </si>
  <si>
    <t xml:space="preserve">Habitaciones Dobles para asistentes </t>
  </si>
  <si>
    <t>Habitación estándar doble por dos noches</t>
  </si>
  <si>
    <t>Comida:  3 tiempos: Sopa, plato fuerte con guarnición, postre, limonada, naranjada y refrescos.</t>
  </si>
  <si>
    <t>Cena Simposio:  3 tiempos: Sopa, plato fuerte con guarnición, postre, limonada, naranjada y refrescos</t>
  </si>
  <si>
    <t xml:space="preserve">2 cervezas por persona </t>
  </si>
  <si>
    <t xml:space="preserve">Desayuno: Buffet </t>
  </si>
  <si>
    <t xml:space="preserve">Coffee break: Café americano, te, agua, refrescos, botana seca (papas, palomitas), panadería petit, galletas y complementos. </t>
  </si>
  <si>
    <t>Comida: Buffet y barra de bebidas sin alcohol: limonada, naranjada y refrescos.</t>
  </si>
  <si>
    <t>Cena: Buffet</t>
  </si>
  <si>
    <t xml:space="preserve">Fogata “Forjando el futuro” con botana seca y barra de refrescos </t>
  </si>
  <si>
    <t>Día 3</t>
  </si>
  <si>
    <t xml:space="preserve">Desayuno: Emplatado, jugo, fruta, plato fuerte, pan y café. </t>
  </si>
  <si>
    <t>TRASLADOS</t>
  </si>
  <si>
    <t xml:space="preserve">Traslado Asistentes </t>
  </si>
  <si>
    <t>Vuelo varios CDMX ( AEROMEXICO, maleta documentada de 25 kg, equipaje de mano, asiento designado, cambio permitido, reembolsable, impuestos incluidos)</t>
  </si>
  <si>
    <t>Traslado terrestre - 5 rutas camionetas de 14 pasajeros.</t>
  </si>
  <si>
    <t>Box Lunch (wrap o baguette, pasta o ensalada, refresco y fruta en mano)</t>
  </si>
  <si>
    <t xml:space="preserve">Traslado terrestre de CDMX a sede del evento camioneta para 10   </t>
  </si>
  <si>
    <t>Hospedaje: estancia 2 noche</t>
  </si>
  <si>
    <t>LA MURALLA</t>
  </si>
  <si>
    <t xml:space="preserve">* Nota: Las únicas bebidas alcohólicas que están incluidas en esta cotización son las cervezas en las cenas en caso de requerir alguna bebida adicional se cobrara como extra. </t>
  </si>
  <si>
    <t xml:space="preserve">Tour Trexen Duo </t>
  </si>
  <si>
    <t>CORTESÍA</t>
  </si>
  <si>
    <t xml:space="preserve">PRODUCCION DE INVITACIONES, TEASER, PRESENTACIONES TEMATIZADAS </t>
  </si>
  <si>
    <t>SISTEMA DE GESTIÓN DE INVITADOS POR SEDE CON SISTEMA DE ASISTENTE PERSONAL PARA PAQUETE DE SEIS SEDES</t>
  </si>
  <si>
    <t>RENTA DE DOS PANTALLAS DE 85” CON PEDESTAL Y MASCARA</t>
  </si>
  <si>
    <t>MAMPARA DE MASCARA PARA ESCENARIO</t>
  </si>
  <si>
    <t>Oficinas ADIUM Santa Fe - Viernes 24 Abril de 2026</t>
  </si>
  <si>
    <r>
      <rPr>
        <sz val="10"/>
        <color indexed="8"/>
        <rFont val="Gotham Bold"/>
      </rPr>
      <t xml:space="preserve">Desayuno estilo coffee break 5 hrs </t>
    </r>
    <r>
      <rPr>
        <sz val="10"/>
        <color indexed="8"/>
        <rFont val="Gotham Book"/>
      </rPr>
      <t>: Una chapata o cuernito, café, té, agua, galletas, mini donas, fruta con granola, refrescos y botana seca.</t>
    </r>
  </si>
  <si>
    <r>
      <rPr>
        <sz val="10"/>
        <color indexed="8"/>
        <rFont val="Gotham Bold"/>
      </rPr>
      <t xml:space="preserve">Comida: Taquiza: </t>
    </r>
    <r>
      <rPr>
        <sz val="10"/>
        <color indexed="8"/>
        <rFont val="Gotham Book"/>
      </rPr>
      <t xml:space="preserve">Tinga, rajas, papa con chorizo, chicharrón, albondigas con arroz, fijoles tortillas, salsas, loza.  </t>
    </r>
  </si>
  <si>
    <r>
      <rPr>
        <sz val="10"/>
        <color indexed="8"/>
        <rFont val="Gotham Bold"/>
      </rPr>
      <t>Barra de bebidas:</t>
    </r>
    <r>
      <rPr>
        <sz val="10"/>
        <color indexed="8"/>
        <rFont val="Gotham Book"/>
      </rPr>
      <t xml:space="preserve"> Limonada, naranjada y refrescos </t>
    </r>
  </si>
  <si>
    <t>PONENTES</t>
  </si>
  <si>
    <t>Hospedaje: estancia 1 noche, desayuno incluido NOVOTEL SANTA FE</t>
  </si>
  <si>
    <t xml:space="preserve">NOVOTEL WTC  - Miércoles 29 de abril de 2026 </t>
  </si>
  <si>
    <r>
      <rPr>
        <sz val="10"/>
        <color indexed="8"/>
        <rFont val="Gotham Bold"/>
      </rPr>
      <t xml:space="preserve">Cena: </t>
    </r>
    <r>
      <rPr>
        <sz val="10"/>
        <color indexed="8"/>
        <rFont val="Gotham Book"/>
      </rPr>
      <t xml:space="preserve"> 3 tiempos: Sopa, plato fuerte con guarnición, postre y agua de sabor , barra de limonada, naranjada y refrescos por todo el evento.</t>
    </r>
  </si>
  <si>
    <t xml:space="preserve">2 copas de vino tinto por persona </t>
  </si>
  <si>
    <t xml:space="preserve">EL MIRADOR MONTERREY  - Miércoles 6 de mayo de 2026 </t>
  </si>
  <si>
    <r>
      <rPr>
        <sz val="10"/>
        <color indexed="8"/>
        <rFont val="Gotham Bold"/>
      </rPr>
      <t xml:space="preserve">Comida: </t>
    </r>
    <r>
      <rPr>
        <sz val="10"/>
        <color indexed="8"/>
        <rFont val="Gotham Book"/>
      </rPr>
      <t xml:space="preserve"> Entrada (guacamole, queso, frijoles), tablas de cortes (filete, sirlon y diezmillo) postre </t>
    </r>
  </si>
  <si>
    <t xml:space="preserve">Barra de refrescos </t>
  </si>
  <si>
    <t xml:space="preserve">2 Cervezas por persona </t>
  </si>
  <si>
    <t>STAFF ADIUM</t>
  </si>
  <si>
    <t xml:space="preserve">LA NORIA PUEBLA  - Jueves 7 de mayo de 2026 </t>
  </si>
  <si>
    <t xml:space="preserve">Hospedaje: Grand Fiesta Americana Angelopolis estancia 1 noche, </t>
  </si>
  <si>
    <t xml:space="preserve">Traslado terrestre en auto privado. </t>
  </si>
  <si>
    <t xml:space="preserve">LA TEQUILA GUADALAJARA  - Miércoles 13 de mayo de 2026 </t>
  </si>
  <si>
    <t xml:space="preserve">FIESTA INN MALECÓN VERACRUZ  - Jueves 14 de mayo de 2026 </t>
  </si>
  <si>
    <t xml:space="preserve">1. Concepto y producción </t>
  </si>
  <si>
    <t>2. Producción general</t>
  </si>
  <si>
    <t>Ahorros logrados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</si>
</sst>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_-&quot;$&quot;* #,##0.00_-;_-&quot;$&quot;* \(#,##0.00\)_-;_-&quot;$&quot;* &quot;-&quot;??;_-@_-"/>
    <numFmt numFmtId="60" formatCode="&quot; &quot;&quot;$&quot;* #,##0.00&quot; &quot;;&quot;-&quot;&quot;$&quot;* #,##0.00&quot; &quot;;&quot; &quot;&quot;$&quot;* &quot;-&quot;??&quot; &quot;"/>
  </numFmts>
  <fonts count="69">
    <font>
      <sz val="10"/>
      <color indexed="8"/>
      <name val="Helvetica Neue"/>
    </font>
    <font>
      <sz val="12"/>
      <color indexed="8"/>
      <name val="Helvetica Neue"/>
    </font>
    <font>
      <sz val="17"/>
      <color indexed="8"/>
      <name val="Gotham Bold"/>
    </font>
    <font>
      <sz val="11"/>
      <color indexed="11"/>
      <name val="Gotham Bold"/>
    </font>
    <font>
      <sz val="8"/>
      <color indexed="8"/>
      <name val="Gotham Bold"/>
    </font>
    <font>
      <sz val="11"/>
      <color indexed="8"/>
      <name val="Arial Unicode MS"/>
    </font>
    <font>
      <sz val="11"/>
      <color indexed="8"/>
      <name val="Gotham Bold"/>
    </font>
    <font>
      <sz val="14"/>
      <color indexed="13"/>
      <name val="Gotham Bold"/>
    </font>
    <font>
      <sz val="9"/>
      <color indexed="8"/>
      <name val="Arial Unicode MS"/>
    </font>
    <font>
      <sz val="11"/>
      <color indexed="13"/>
      <name val="Gotham Bold"/>
    </font>
    <font>
      <sz val="10"/>
      <color indexed="8"/>
      <name val="Gotham Book"/>
    </font>
    <font>
      <sz val="10"/>
      <color indexed="13"/>
      <name val="Gotham Bold"/>
    </font>
    <font>
      <sz val="14"/>
      <color indexed="16"/>
      <name val="Gotham Bold"/>
    </font>
    <font>
      <sz val="9"/>
      <color indexed="16"/>
      <name val="Arial Unicode MS"/>
    </font>
    <font>
      <sz val="11"/>
      <color indexed="16"/>
      <name val="Gotham Bold"/>
    </font>
    <font>
      <sz val="10"/>
      <color indexed="16"/>
      <name val="Gotham Bold"/>
    </font>
    <font>
      <sz val="12"/>
      <color indexed="8"/>
      <name val="Gotham Bold"/>
    </font>
    <font>
      <sz val="14"/>
      <color indexed="18"/>
      <name val="Gotham Bold"/>
    </font>
    <font>
      <sz val="9"/>
      <color indexed="18"/>
      <name val="Arial Unicode MS"/>
    </font>
    <font>
      <sz val="11"/>
      <color indexed="18"/>
      <name val="Gotham Bold"/>
    </font>
    <font>
      <sz val="10"/>
      <color indexed="18"/>
      <name val="Gotham Bold"/>
    </font>
    <font>
      <sz val="14"/>
      <color indexed="8"/>
      <name val="Gotham Bold"/>
    </font>
    <font>
      <sz val="10"/>
      <color indexed="20"/>
      <name val="Gotham Book"/>
    </font>
    <font>
      <sz val="10"/>
      <color indexed="20"/>
      <name val="Gotham Bold"/>
    </font>
    <font>
      <sz val="10"/>
      <color indexed="8"/>
      <name val="Gotham Bold"/>
    </font>
    <font>
      <sz val="14"/>
      <color indexed="20"/>
      <name val="Gotham Bold"/>
    </font>
    <font>
      <sz val="9"/>
      <color indexed="8"/>
      <name val="Gotham Bold"/>
    </font>
    <font>
      <sz val="9"/>
      <color indexed="10"/>
      <name val="Gotham Bold"/>
    </font>
    <font>
      <sz val="17"/>
      <color indexed="8"/>
      <name val="Avenir Heavy"/>
    </font>
    <font>
      <sz val="8"/>
      <color indexed="8"/>
      <name val="Avenir Book"/>
    </font>
    <font>
      <sz val="11"/>
      <color indexed="8"/>
      <name val="Avenir Book"/>
    </font>
    <font>
      <sz val="14"/>
      <color indexed="16"/>
      <name val="Avenir Book"/>
    </font>
    <font>
      <sz val="9"/>
      <color indexed="16"/>
      <name val="Avenir Book"/>
    </font>
    <font>
      <sz val="11"/>
      <color indexed="16"/>
      <name val="Avenir Book"/>
    </font>
    <font>
      <sz val="10"/>
      <color indexed="8"/>
      <name val="Avenir Heavy"/>
    </font>
    <font>
      <sz val="10"/>
      <color indexed="8"/>
      <name val="Avenir Book"/>
    </font>
    <font>
      <sz val="10"/>
      <color indexed="16"/>
      <name val="Avenir Book"/>
    </font>
    <font>
      <sz val="12"/>
      <color indexed="8"/>
      <name val="Avenir Book"/>
    </font>
    <font>
      <sz val="14"/>
      <color indexed="21"/>
      <name val="Avenir Book"/>
    </font>
    <font>
      <sz val="9"/>
      <color indexed="18"/>
      <name val="Avenir Book"/>
    </font>
    <font>
      <sz val="11"/>
      <color indexed="18"/>
      <name val="Avenir Book"/>
    </font>
    <font>
      <sz val="10"/>
      <color indexed="21"/>
      <name val="Avenir Heavy"/>
    </font>
    <font>
      <sz val="10"/>
      <color indexed="18"/>
      <name val="Avenir Book"/>
    </font>
    <font>
      <sz val="14"/>
      <color indexed="18"/>
      <name val="Avenir Book"/>
    </font>
    <font>
      <sz val="10"/>
      <color indexed="18"/>
      <name val="Avenir Heavy"/>
    </font>
    <font>
      <sz val="10"/>
      <color indexed="13"/>
      <name val="Avenir Book"/>
    </font>
    <font>
      <sz val="14"/>
      <color indexed="10"/>
      <name val="Avenir Heavy"/>
    </font>
    <font>
      <sz val="9"/>
      <color indexed="10"/>
      <name val="Avenir Heavy"/>
    </font>
    <font>
      <sz val="11"/>
      <color indexed="10"/>
      <name val="Avenir Heavy"/>
    </font>
    <font>
      <sz val="14"/>
      <color indexed="25"/>
      <name val="Avenir Heavy"/>
    </font>
    <font>
      <sz val="9"/>
      <color indexed="25"/>
      <name val="Avenir Heavy"/>
    </font>
    <font>
      <sz val="11"/>
      <color indexed="25"/>
      <name val="Avenir Heavy"/>
    </font>
    <font>
      <sz val="14"/>
      <color indexed="24"/>
      <name val="Avenir Heavy"/>
    </font>
    <font>
      <sz val="9"/>
      <color indexed="24"/>
      <name val="Avenir Heavy"/>
    </font>
    <font>
      <sz val="11"/>
      <color indexed="24"/>
      <name val="Avenir Heavy"/>
    </font>
    <font>
      <sz val="11"/>
      <color indexed="28"/>
      <name val="Avenir Heavy"/>
    </font>
    <font>
      <sz val="14"/>
      <color indexed="20"/>
      <name val="Avenir Book"/>
    </font>
    <font>
      <sz val="9"/>
      <color indexed="20"/>
      <name val="Avenir Book"/>
    </font>
    <font>
      <sz val="11"/>
      <color indexed="20"/>
      <name val="Avenir Heavy"/>
    </font>
    <font>
      <sz val="11"/>
      <color indexed="16"/>
      <name val="Avenir Heavy"/>
    </font>
    <font>
      <sz val="11"/>
      <color indexed="18"/>
      <name val="Avenir Heavy"/>
    </font>
    <font>
      <sz val="14"/>
      <color indexed="31"/>
      <name val="Avenir Book"/>
    </font>
    <font>
      <sz val="9"/>
      <color indexed="31"/>
      <name val="Avenir Book"/>
    </font>
    <font>
      <sz val="11"/>
      <color indexed="31"/>
      <name val="Avenir Heavy"/>
    </font>
    <font>
      <sz val="14"/>
      <color indexed="31"/>
      <name val="Avenir Heavy"/>
    </font>
    <font>
      <sz val="9"/>
      <color indexed="31"/>
      <name val="Avenir Heavy"/>
    </font>
    <font>
      <sz val="10"/>
      <color indexed="31"/>
      <name val="Avenir Book"/>
    </font>
    <font>
      <sz val="11"/>
      <color indexed="31"/>
      <name val="Avenir Book"/>
    </font>
    <font>
      <b val="1"/>
      <sz val="10"/>
      <color indexed="8"/>
      <name val="Helvetica Neue"/>
    </font>
  </fonts>
  <fills count="2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32"/>
        <bgColor auto="1"/>
      </patternFill>
    </fill>
    <fill>
      <patternFill patternType="solid">
        <fgColor indexed="33"/>
        <bgColor auto="1"/>
      </patternFill>
    </fill>
    <fill>
      <patternFill patternType="solid">
        <fgColor indexed="34"/>
        <bgColor auto="1"/>
      </patternFill>
    </fill>
    <fill>
      <patternFill patternType="solid">
        <fgColor indexed="37"/>
        <bgColor auto="1"/>
      </patternFill>
    </fill>
  </fills>
  <borders count="180">
    <border>
      <left/>
      <right/>
      <top/>
      <bottom/>
      <diagonal/>
    </border>
    <border>
      <left style="medium">
        <color indexed="10"/>
      </left>
      <right style="medium">
        <color indexed="8"/>
      </right>
      <top style="medium">
        <color indexed="10"/>
      </top>
      <bottom style="medium">
        <color indexed="10"/>
      </bottom>
      <diagonal/>
    </border>
    <border>
      <left style="medium">
        <color indexed="8"/>
      </left>
      <right style="medium">
        <color indexed="8"/>
      </right>
      <top style="medium">
        <color indexed="10"/>
      </top>
      <bottom style="medium">
        <color indexed="10"/>
      </bottom>
      <diagonal/>
    </border>
    <border>
      <left style="medium">
        <color indexed="8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medium">
        <color indexed="13"/>
      </bottom>
      <diagonal/>
    </border>
    <border>
      <left style="medium">
        <color indexed="13"/>
      </left>
      <right style="medium">
        <color indexed="10"/>
      </right>
      <top style="medium">
        <color indexed="13"/>
      </top>
      <bottom style="medium">
        <color indexed="10"/>
      </bottom>
      <diagonal/>
    </border>
    <border>
      <left style="medium">
        <color indexed="10"/>
      </left>
      <right style="medium">
        <color indexed="10"/>
      </right>
      <top style="medium">
        <color indexed="13"/>
      </top>
      <bottom style="medium">
        <color indexed="10"/>
      </bottom>
      <diagonal/>
    </border>
    <border>
      <left style="medium">
        <color indexed="10"/>
      </left>
      <right style="medium">
        <color indexed="13"/>
      </right>
      <top style="medium">
        <color indexed="13"/>
      </top>
      <bottom style="medium">
        <color indexed="10"/>
      </bottom>
      <diagonal/>
    </border>
    <border>
      <left style="medium">
        <color indexed="13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10"/>
      </left>
      <right style="medium">
        <color indexed="13"/>
      </right>
      <top style="medium">
        <color indexed="10"/>
      </top>
      <bottom style="medium">
        <color indexed="10"/>
      </bottom>
      <diagonal/>
    </border>
    <border>
      <left style="medium">
        <color indexed="13"/>
      </left>
      <right style="medium">
        <color indexed="10"/>
      </right>
      <top style="medium">
        <color indexed="10"/>
      </top>
      <bottom style="medium">
        <color indexed="13"/>
      </bottom>
      <diagonal/>
    </border>
    <border>
      <left style="medium">
        <color indexed="10"/>
      </left>
      <right style="medium">
        <color indexed="13"/>
      </right>
      <top style="medium">
        <color indexed="10"/>
      </top>
      <bottom style="medium">
        <color indexed="13"/>
      </bottom>
      <diagonal/>
    </border>
    <border>
      <left style="medium">
        <color indexed="10"/>
      </left>
      <right style="medium">
        <color indexed="10"/>
      </right>
      <top style="medium">
        <color indexed="13"/>
      </top>
      <bottom style="medium">
        <color indexed="13"/>
      </bottom>
      <diagonal/>
    </border>
    <border>
      <left style="medium">
        <color indexed="10"/>
      </left>
      <right style="medium">
        <color indexed="10"/>
      </right>
      <top style="medium">
        <color indexed="13"/>
      </top>
      <bottom style="medium">
        <color indexed="16"/>
      </bottom>
      <diagonal/>
    </border>
    <border>
      <left style="medium">
        <color indexed="16"/>
      </left>
      <right style="medium">
        <color indexed="10"/>
      </right>
      <top style="medium">
        <color indexed="16"/>
      </top>
      <bottom style="medium">
        <color indexed="10"/>
      </bottom>
      <diagonal/>
    </border>
    <border>
      <left style="medium">
        <color indexed="10"/>
      </left>
      <right style="medium">
        <color indexed="10"/>
      </right>
      <top style="medium">
        <color indexed="16"/>
      </top>
      <bottom style="medium">
        <color indexed="10"/>
      </bottom>
      <diagonal/>
    </border>
    <border>
      <left style="medium">
        <color indexed="10"/>
      </left>
      <right style="medium">
        <color indexed="16"/>
      </right>
      <top style="medium">
        <color indexed="16"/>
      </top>
      <bottom style="medium">
        <color indexed="10"/>
      </bottom>
      <diagonal/>
    </border>
    <border>
      <left style="medium">
        <color indexed="16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10"/>
      </left>
      <right style="medium">
        <color indexed="16"/>
      </right>
      <top style="medium">
        <color indexed="10"/>
      </top>
      <bottom style="medium">
        <color indexed="10"/>
      </bottom>
      <diagonal/>
    </border>
    <border>
      <left style="medium">
        <color indexed="16"/>
      </left>
      <right style="medium">
        <color indexed="10"/>
      </right>
      <top style="medium">
        <color indexed="10"/>
      </top>
      <bottom style="medium">
        <color indexed="16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medium">
        <color indexed="16"/>
      </bottom>
      <diagonal/>
    </border>
    <border>
      <left style="medium">
        <color indexed="10"/>
      </left>
      <right style="medium">
        <color indexed="16"/>
      </right>
      <top style="medium">
        <color indexed="10"/>
      </top>
      <bottom style="medium">
        <color indexed="16"/>
      </bottom>
      <diagonal/>
    </border>
    <border>
      <left style="medium">
        <color indexed="10"/>
      </left>
      <right style="medium">
        <color indexed="10"/>
      </right>
      <top style="medium">
        <color indexed="16"/>
      </top>
      <bottom style="medium">
        <color indexed="18"/>
      </bottom>
      <diagonal/>
    </border>
    <border>
      <left style="medium">
        <color indexed="18"/>
      </left>
      <right style="medium">
        <color indexed="10"/>
      </right>
      <top style="medium">
        <color indexed="18"/>
      </top>
      <bottom style="medium">
        <color indexed="10"/>
      </bottom>
      <diagonal/>
    </border>
    <border>
      <left style="medium">
        <color indexed="10"/>
      </left>
      <right style="medium">
        <color indexed="10"/>
      </right>
      <top style="medium">
        <color indexed="18"/>
      </top>
      <bottom style="medium">
        <color indexed="10"/>
      </bottom>
      <diagonal/>
    </border>
    <border>
      <left style="medium">
        <color indexed="10"/>
      </left>
      <right style="medium">
        <color indexed="18"/>
      </right>
      <top style="medium">
        <color indexed="18"/>
      </top>
      <bottom style="medium">
        <color indexed="10"/>
      </bottom>
      <diagonal/>
    </border>
    <border>
      <left style="medium">
        <color indexed="18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10"/>
      </left>
      <right style="medium">
        <color indexed="18"/>
      </right>
      <top style="medium">
        <color indexed="10"/>
      </top>
      <bottom style="medium">
        <color indexed="10"/>
      </bottom>
      <diagonal/>
    </border>
    <border>
      <left style="medium">
        <color indexed="18"/>
      </left>
      <right style="medium">
        <color indexed="10"/>
      </right>
      <top style="medium">
        <color indexed="10"/>
      </top>
      <bottom style="medium">
        <color indexed="18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medium">
        <color indexed="18"/>
      </bottom>
      <diagonal/>
    </border>
    <border>
      <left style="medium">
        <color indexed="10"/>
      </left>
      <right style="medium">
        <color indexed="18"/>
      </right>
      <top style="medium">
        <color indexed="10"/>
      </top>
      <bottom style="medium">
        <color indexed="18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thick">
        <color indexed="16"/>
      </bottom>
      <diagonal/>
    </border>
    <border>
      <left style="thick">
        <color indexed="16"/>
      </left>
      <right style="medium">
        <color indexed="10"/>
      </right>
      <top style="thick">
        <color indexed="16"/>
      </top>
      <bottom style="medium">
        <color indexed="10"/>
      </bottom>
      <diagonal/>
    </border>
    <border>
      <left style="medium">
        <color indexed="10"/>
      </left>
      <right style="medium">
        <color indexed="10"/>
      </right>
      <top style="thick">
        <color indexed="16"/>
      </top>
      <bottom style="medium">
        <color indexed="10"/>
      </bottom>
      <diagonal/>
    </border>
    <border>
      <left style="medium">
        <color indexed="10"/>
      </left>
      <right style="thick">
        <color indexed="16"/>
      </right>
      <top style="thick">
        <color indexed="16"/>
      </top>
      <bottom style="medium">
        <color indexed="10"/>
      </bottom>
      <diagonal/>
    </border>
    <border>
      <left style="thick">
        <color indexed="16"/>
      </left>
      <right style="thick">
        <color indexed="16"/>
      </right>
      <top style="thick">
        <color indexed="16"/>
      </top>
      <bottom style="medium">
        <color indexed="10"/>
      </bottom>
      <diagonal/>
    </border>
    <border>
      <left style="thick">
        <color indexed="16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10"/>
      </left>
      <right style="thick">
        <color indexed="16"/>
      </right>
      <top style="medium">
        <color indexed="10"/>
      </top>
      <bottom style="medium">
        <color indexed="10"/>
      </bottom>
      <diagonal/>
    </border>
    <border>
      <left style="thick">
        <color indexed="16"/>
      </left>
      <right style="thick">
        <color indexed="16"/>
      </right>
      <top style="medium">
        <color indexed="10"/>
      </top>
      <bottom style="medium">
        <color indexed="10"/>
      </bottom>
      <diagonal/>
    </border>
    <border>
      <left style="thick">
        <color indexed="16"/>
      </left>
      <right style="medium">
        <color indexed="10"/>
      </right>
      <top style="medium">
        <color indexed="10"/>
      </top>
      <bottom style="thick">
        <color indexed="16"/>
      </bottom>
      <diagonal/>
    </border>
    <border>
      <left style="medium">
        <color indexed="10"/>
      </left>
      <right style="thick">
        <color indexed="16"/>
      </right>
      <top style="medium">
        <color indexed="10"/>
      </top>
      <bottom style="thick">
        <color indexed="16"/>
      </bottom>
      <diagonal/>
    </border>
    <border>
      <left style="thick">
        <color indexed="16"/>
      </left>
      <right style="thick">
        <color indexed="16"/>
      </right>
      <top style="medium">
        <color indexed="10"/>
      </top>
      <bottom style="thick">
        <color indexed="16"/>
      </bottom>
      <diagonal/>
    </border>
    <border>
      <left style="medium">
        <color indexed="10"/>
      </left>
      <right style="medium">
        <color indexed="10"/>
      </right>
      <top style="thick">
        <color indexed="16"/>
      </top>
      <bottom style="thick">
        <color indexed="21"/>
      </bottom>
      <diagonal/>
    </border>
    <border>
      <left style="thick">
        <color indexed="21"/>
      </left>
      <right style="medium">
        <color indexed="10"/>
      </right>
      <top style="thick">
        <color indexed="21"/>
      </top>
      <bottom style="medium">
        <color indexed="10"/>
      </bottom>
      <diagonal/>
    </border>
    <border>
      <left style="medium">
        <color indexed="10"/>
      </left>
      <right style="medium">
        <color indexed="10"/>
      </right>
      <top style="thick">
        <color indexed="21"/>
      </top>
      <bottom style="medium">
        <color indexed="10"/>
      </bottom>
      <diagonal/>
    </border>
    <border>
      <left style="medium">
        <color indexed="10"/>
      </left>
      <right style="thick">
        <color indexed="21"/>
      </right>
      <top style="thick">
        <color indexed="21"/>
      </top>
      <bottom style="medium">
        <color indexed="10"/>
      </bottom>
      <diagonal/>
    </border>
    <border>
      <left style="thick">
        <color indexed="21"/>
      </left>
      <right style="thick">
        <color indexed="21"/>
      </right>
      <top style="thick">
        <color indexed="21"/>
      </top>
      <bottom style="medium">
        <color indexed="10"/>
      </bottom>
      <diagonal/>
    </border>
    <border>
      <left style="thick">
        <color indexed="21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10"/>
      </left>
      <right style="thick">
        <color indexed="21"/>
      </right>
      <top style="medium">
        <color indexed="10"/>
      </top>
      <bottom style="medium">
        <color indexed="10"/>
      </bottom>
      <diagonal/>
    </border>
    <border>
      <left style="thick">
        <color indexed="21"/>
      </left>
      <right style="thick">
        <color indexed="21"/>
      </right>
      <top style="medium">
        <color indexed="10"/>
      </top>
      <bottom style="medium">
        <color indexed="10"/>
      </bottom>
      <diagonal/>
    </border>
    <border>
      <left style="thick">
        <color indexed="21"/>
      </left>
      <right style="medium">
        <color indexed="10"/>
      </right>
      <top style="medium">
        <color indexed="10"/>
      </top>
      <bottom style="thick">
        <color indexed="21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thick">
        <color indexed="21"/>
      </bottom>
      <diagonal/>
    </border>
    <border>
      <left style="medium">
        <color indexed="10"/>
      </left>
      <right style="thick">
        <color indexed="21"/>
      </right>
      <top style="medium">
        <color indexed="10"/>
      </top>
      <bottom style="thick">
        <color indexed="21"/>
      </bottom>
      <diagonal/>
    </border>
    <border>
      <left style="thick">
        <color indexed="21"/>
      </left>
      <right style="thick">
        <color indexed="21"/>
      </right>
      <top style="medium">
        <color indexed="10"/>
      </top>
      <bottom style="thick">
        <color indexed="21"/>
      </bottom>
      <diagonal/>
    </border>
    <border>
      <left style="medium">
        <color indexed="10"/>
      </left>
      <right style="medium">
        <color indexed="10"/>
      </right>
      <top style="thick">
        <color indexed="21"/>
      </top>
      <bottom style="thick">
        <color indexed="18"/>
      </bottom>
      <diagonal/>
    </border>
    <border>
      <left style="thick">
        <color indexed="18"/>
      </left>
      <right style="medium">
        <color indexed="10"/>
      </right>
      <top style="thick">
        <color indexed="18"/>
      </top>
      <bottom style="medium">
        <color indexed="18"/>
      </bottom>
      <diagonal/>
    </border>
    <border>
      <left style="medium">
        <color indexed="10"/>
      </left>
      <right style="medium">
        <color indexed="10"/>
      </right>
      <top style="thick">
        <color indexed="18"/>
      </top>
      <bottom style="medium">
        <color indexed="18"/>
      </bottom>
      <diagonal/>
    </border>
    <border>
      <left style="medium">
        <color indexed="10"/>
      </left>
      <right style="thick">
        <color indexed="18"/>
      </right>
      <top style="thick">
        <color indexed="18"/>
      </top>
      <bottom style="medium">
        <color indexed="18"/>
      </bottom>
      <diagonal/>
    </border>
    <border>
      <left style="thick">
        <color indexed="18"/>
      </left>
      <right style="thick">
        <color indexed="18"/>
      </right>
      <top style="thick">
        <color indexed="18"/>
      </top>
      <bottom style="medium">
        <color indexed="18"/>
      </bottom>
      <diagonal/>
    </border>
    <border>
      <left style="thick">
        <color indexed="18"/>
      </left>
      <right style="medium">
        <color indexed="10"/>
      </right>
      <top style="medium">
        <color indexed="18"/>
      </top>
      <bottom style="medium">
        <color indexed="10"/>
      </bottom>
      <diagonal/>
    </border>
    <border>
      <left style="medium">
        <color indexed="10"/>
      </left>
      <right style="thick">
        <color indexed="18"/>
      </right>
      <top style="medium">
        <color indexed="18"/>
      </top>
      <bottom style="medium">
        <color indexed="10"/>
      </bottom>
      <diagonal/>
    </border>
    <border>
      <left style="thick">
        <color indexed="18"/>
      </left>
      <right style="thick">
        <color indexed="18"/>
      </right>
      <top style="medium">
        <color indexed="18"/>
      </top>
      <bottom style="medium">
        <color indexed="10"/>
      </bottom>
      <diagonal/>
    </border>
    <border>
      <left style="thick">
        <color indexed="18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10"/>
      </left>
      <right style="thick">
        <color indexed="18"/>
      </right>
      <top style="medium">
        <color indexed="10"/>
      </top>
      <bottom style="medium">
        <color indexed="10"/>
      </bottom>
      <diagonal/>
    </border>
    <border>
      <left style="thick">
        <color indexed="18"/>
      </left>
      <right style="thick">
        <color indexed="18"/>
      </right>
      <top style="medium">
        <color indexed="10"/>
      </top>
      <bottom style="medium">
        <color indexed="10"/>
      </bottom>
      <diagonal/>
    </border>
    <border>
      <left style="thick">
        <color indexed="18"/>
      </left>
      <right style="medium">
        <color indexed="10"/>
      </right>
      <top style="medium">
        <color indexed="10"/>
      </top>
      <bottom style="medium">
        <color indexed="18"/>
      </bottom>
      <diagonal/>
    </border>
    <border>
      <left style="medium">
        <color indexed="10"/>
      </left>
      <right style="thick">
        <color indexed="18"/>
      </right>
      <top style="medium">
        <color indexed="10"/>
      </top>
      <bottom style="medium">
        <color indexed="18"/>
      </bottom>
      <diagonal/>
    </border>
    <border>
      <left style="thick">
        <color indexed="18"/>
      </left>
      <right style="thick">
        <color indexed="18"/>
      </right>
      <top style="medium">
        <color indexed="10"/>
      </top>
      <bottom style="medium">
        <color indexed="18"/>
      </bottom>
      <diagonal/>
    </border>
    <border>
      <left style="thick">
        <color indexed="18"/>
      </left>
      <right style="medium">
        <color indexed="10"/>
      </right>
      <top style="medium">
        <color indexed="10"/>
      </top>
      <bottom style="thick">
        <color indexed="18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thick">
        <color indexed="18"/>
      </bottom>
      <diagonal/>
    </border>
    <border>
      <left style="medium">
        <color indexed="10"/>
      </left>
      <right style="thick">
        <color indexed="18"/>
      </right>
      <top style="medium">
        <color indexed="10"/>
      </top>
      <bottom style="thick">
        <color indexed="18"/>
      </bottom>
      <diagonal/>
    </border>
    <border>
      <left style="thick">
        <color indexed="18"/>
      </left>
      <right style="thick">
        <color indexed="18"/>
      </right>
      <top style="medium">
        <color indexed="10"/>
      </top>
      <bottom style="thick">
        <color indexed="18"/>
      </bottom>
      <diagonal/>
    </border>
    <border>
      <left style="medium">
        <color indexed="10"/>
      </left>
      <right style="medium">
        <color indexed="10"/>
      </right>
      <top style="thick">
        <color indexed="18"/>
      </top>
      <bottom style="thick">
        <color indexed="23"/>
      </bottom>
      <diagonal/>
    </border>
    <border>
      <left style="thick">
        <color indexed="23"/>
      </left>
      <right style="medium">
        <color indexed="10"/>
      </right>
      <top style="thick">
        <color indexed="23"/>
      </top>
      <bottom style="thick">
        <color indexed="23"/>
      </bottom>
      <diagonal/>
    </border>
    <border>
      <left style="medium">
        <color indexed="10"/>
      </left>
      <right style="medium">
        <color indexed="10"/>
      </right>
      <top style="thick">
        <color indexed="23"/>
      </top>
      <bottom style="thick">
        <color indexed="23"/>
      </bottom>
      <diagonal/>
    </border>
    <border>
      <left style="medium">
        <color indexed="10"/>
      </left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thick">
        <color indexed="23"/>
      </left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thick">
        <color indexed="23"/>
      </left>
      <right style="medium">
        <color indexed="10"/>
      </right>
      <top style="thick">
        <color indexed="23"/>
      </top>
      <bottom style="thick">
        <color indexed="10"/>
      </bottom>
      <diagonal/>
    </border>
    <border>
      <left style="medium">
        <color indexed="10"/>
      </left>
      <right style="medium">
        <color indexed="10"/>
      </right>
      <top style="thick">
        <color indexed="23"/>
      </top>
      <bottom style="thick">
        <color indexed="10"/>
      </bottom>
      <diagonal/>
    </border>
    <border>
      <left style="medium">
        <color indexed="10"/>
      </left>
      <right style="thick">
        <color indexed="23"/>
      </right>
      <top style="thick">
        <color indexed="23"/>
      </top>
      <bottom style="thick">
        <color indexed="10"/>
      </bottom>
      <diagonal/>
    </border>
    <border>
      <left style="thick">
        <color indexed="23"/>
      </left>
      <right style="thick">
        <color indexed="23"/>
      </right>
      <top style="thick">
        <color indexed="23"/>
      </top>
      <bottom style="thick">
        <color indexed="10"/>
      </bottom>
      <diagonal/>
    </border>
    <border>
      <left style="thick">
        <color indexed="23"/>
      </left>
      <right style="medium">
        <color indexed="10"/>
      </right>
      <top style="thick">
        <color indexed="10"/>
      </top>
      <bottom style="medium">
        <color indexed="10"/>
      </bottom>
      <diagonal/>
    </border>
    <border>
      <left style="medium">
        <color indexed="10"/>
      </left>
      <right style="medium">
        <color indexed="10"/>
      </right>
      <top style="thick">
        <color indexed="10"/>
      </top>
      <bottom style="medium">
        <color indexed="10"/>
      </bottom>
      <diagonal/>
    </border>
    <border>
      <left style="medium">
        <color indexed="10"/>
      </left>
      <right style="thick">
        <color indexed="23"/>
      </right>
      <top style="thick">
        <color indexed="10"/>
      </top>
      <bottom style="medium">
        <color indexed="10"/>
      </bottom>
      <diagonal/>
    </border>
    <border>
      <left style="thick">
        <color indexed="23"/>
      </left>
      <right style="thick">
        <color indexed="23"/>
      </right>
      <top style="thick">
        <color indexed="10"/>
      </top>
      <bottom style="medium">
        <color indexed="10"/>
      </bottom>
      <diagonal/>
    </border>
    <border>
      <left style="thick">
        <color indexed="23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10"/>
      </left>
      <right style="thick">
        <color indexed="23"/>
      </right>
      <top style="medium">
        <color indexed="10"/>
      </top>
      <bottom style="medium">
        <color indexed="10"/>
      </bottom>
      <diagonal/>
    </border>
    <border>
      <left style="thick">
        <color indexed="23"/>
      </left>
      <right style="thick">
        <color indexed="23"/>
      </right>
      <top style="medium">
        <color indexed="10"/>
      </top>
      <bottom style="medium">
        <color indexed="10"/>
      </bottom>
      <diagonal/>
    </border>
    <border>
      <left style="thick">
        <color indexed="23"/>
      </left>
      <right style="medium">
        <color indexed="10"/>
      </right>
      <top style="medium">
        <color indexed="10"/>
      </top>
      <bottom style="thick">
        <color indexed="10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thick">
        <color indexed="10"/>
      </bottom>
      <diagonal/>
    </border>
    <border>
      <left style="medium">
        <color indexed="10"/>
      </left>
      <right style="thick">
        <color indexed="23"/>
      </right>
      <top style="medium">
        <color indexed="10"/>
      </top>
      <bottom style="thick">
        <color indexed="10"/>
      </bottom>
      <diagonal/>
    </border>
    <border>
      <left style="thick">
        <color indexed="23"/>
      </left>
      <right style="thick">
        <color indexed="23"/>
      </right>
      <top style="medium">
        <color indexed="10"/>
      </top>
      <bottom style="thick">
        <color indexed="10"/>
      </bottom>
      <diagonal/>
    </border>
    <border>
      <left style="thick">
        <color indexed="23"/>
      </left>
      <right style="medium">
        <color indexed="10"/>
      </right>
      <top style="medium">
        <color indexed="10"/>
      </top>
      <bottom style="thick">
        <color indexed="23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thick">
        <color indexed="23"/>
      </bottom>
      <diagonal/>
    </border>
    <border>
      <left style="medium">
        <color indexed="10"/>
      </left>
      <right style="thick">
        <color indexed="23"/>
      </right>
      <top style="medium">
        <color indexed="10"/>
      </top>
      <bottom style="thick">
        <color indexed="23"/>
      </bottom>
      <diagonal/>
    </border>
    <border>
      <left style="thick">
        <color indexed="23"/>
      </left>
      <right style="thick">
        <color indexed="23"/>
      </right>
      <top style="medium">
        <color indexed="10"/>
      </top>
      <bottom style="thick">
        <color indexed="23"/>
      </bottom>
      <diagonal/>
    </border>
    <border>
      <left style="thick">
        <color indexed="23"/>
      </left>
      <right style="medium">
        <color indexed="10"/>
      </right>
      <top style="thick">
        <color indexed="10"/>
      </top>
      <bottom style="thick">
        <color indexed="23"/>
      </bottom>
      <diagonal/>
    </border>
    <border>
      <left style="medium">
        <color indexed="10"/>
      </left>
      <right style="medium">
        <color indexed="10"/>
      </right>
      <top style="thick">
        <color indexed="10"/>
      </top>
      <bottom style="thick">
        <color indexed="23"/>
      </bottom>
      <diagonal/>
    </border>
    <border>
      <left style="medium">
        <color indexed="10"/>
      </left>
      <right style="thick">
        <color indexed="23"/>
      </right>
      <top style="thick">
        <color indexed="10"/>
      </top>
      <bottom style="thick">
        <color indexed="23"/>
      </bottom>
      <diagonal/>
    </border>
    <border>
      <left style="thick">
        <color indexed="23"/>
      </left>
      <right style="thick">
        <color indexed="23"/>
      </right>
      <top style="thick">
        <color indexed="10"/>
      </top>
      <bottom style="thick">
        <color indexed="23"/>
      </bottom>
      <diagonal/>
    </border>
    <border>
      <left style="medium">
        <color indexed="10"/>
      </left>
      <right style="medium">
        <color indexed="10"/>
      </right>
      <top style="thick">
        <color indexed="23"/>
      </top>
      <bottom style="medium">
        <color indexed="10"/>
      </bottom>
      <diagonal/>
    </border>
    <border>
      <left style="thick">
        <color indexed="16"/>
      </left>
      <right style="medium">
        <color indexed="10"/>
      </right>
      <top style="thick">
        <color indexed="16"/>
      </top>
      <bottom style="thick">
        <color indexed="21"/>
      </bottom>
      <diagonal/>
    </border>
    <border>
      <left style="medium">
        <color indexed="10"/>
      </left>
      <right style="thick">
        <color indexed="16"/>
      </right>
      <top style="thick">
        <color indexed="16"/>
      </top>
      <bottom style="thick">
        <color indexed="21"/>
      </bottom>
      <diagonal/>
    </border>
    <border>
      <left style="thick">
        <color indexed="21"/>
      </left>
      <right style="medium">
        <color indexed="10"/>
      </right>
      <top style="thick">
        <color indexed="21"/>
      </top>
      <bottom style="thick">
        <color indexed="18"/>
      </bottom>
      <diagonal/>
    </border>
    <border>
      <left style="medium">
        <color indexed="10"/>
      </left>
      <right style="thick">
        <color indexed="21"/>
      </right>
      <top style="thick">
        <color indexed="21"/>
      </top>
      <bottom style="thick">
        <color indexed="18"/>
      </bottom>
      <diagonal/>
    </border>
    <border>
      <left style="thick">
        <color indexed="21"/>
      </left>
      <right style="thick">
        <color indexed="21"/>
      </right>
      <top style="thick">
        <color indexed="21"/>
      </top>
      <bottom style="thick">
        <color indexed="18"/>
      </bottom>
      <diagonal/>
    </border>
    <border>
      <left style="thick">
        <color indexed="18"/>
      </left>
      <right style="medium">
        <color indexed="10"/>
      </right>
      <top style="thick">
        <color indexed="18"/>
      </top>
      <bottom style="thick">
        <color indexed="23"/>
      </bottom>
      <diagonal/>
    </border>
    <border>
      <left style="medium">
        <color indexed="10"/>
      </left>
      <right>
        <color indexed="8"/>
      </right>
      <top style="thick">
        <color indexed="18"/>
      </top>
      <bottom style="thick">
        <color indexed="23"/>
      </bottom>
      <diagonal/>
    </border>
    <border>
      <left>
        <color indexed="8"/>
      </left>
      <right style="medium">
        <color indexed="10"/>
      </right>
      <top style="thick">
        <color indexed="18"/>
      </top>
      <bottom style="thick">
        <color indexed="23"/>
      </bottom>
      <diagonal/>
    </border>
    <border>
      <left style="medium">
        <color indexed="10"/>
      </left>
      <right style="thick">
        <color indexed="18"/>
      </right>
      <top style="thick">
        <color indexed="18"/>
      </top>
      <bottom style="thick">
        <color indexed="23"/>
      </bottom>
      <diagonal/>
    </border>
    <border>
      <left style="thick">
        <color indexed="18"/>
      </left>
      <right style="thick">
        <color indexed="18"/>
      </right>
      <top style="thick">
        <color indexed="18"/>
      </top>
      <bottom style="thick">
        <color indexed="23"/>
      </bottom>
      <diagonal/>
    </border>
    <border>
      <left style="thick">
        <color indexed="10"/>
      </left>
      <right style="medium">
        <color indexed="10"/>
      </right>
      <top style="thick">
        <color indexed="10"/>
      </top>
      <bottom style="thick">
        <color indexed="10"/>
      </bottom>
      <diagonal/>
    </border>
    <border>
      <left style="medium">
        <color indexed="10"/>
      </left>
      <right style="medium">
        <color indexed="10"/>
      </right>
      <top style="thick">
        <color indexed="10"/>
      </top>
      <bottom style="thick">
        <color indexed="10"/>
      </bottom>
      <diagonal/>
    </border>
    <border>
      <left style="medium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medium">
        <color indexed="10"/>
      </left>
      <right style="medium">
        <color indexed="10"/>
      </right>
      <top style="thick">
        <color indexed="10"/>
      </top>
      <bottom style="thick">
        <color indexed="29"/>
      </bottom>
      <diagonal/>
    </border>
    <border>
      <left style="thick">
        <color indexed="29"/>
      </left>
      <right style="medium">
        <color indexed="10"/>
      </right>
      <top style="thick">
        <color indexed="29"/>
      </top>
      <bottom style="medium">
        <color indexed="29"/>
      </bottom>
      <diagonal/>
    </border>
    <border>
      <left style="medium">
        <color indexed="10"/>
      </left>
      <right style="medium">
        <color indexed="10"/>
      </right>
      <top style="thick">
        <color indexed="29"/>
      </top>
      <bottom style="thick">
        <color indexed="29"/>
      </bottom>
      <diagonal/>
    </border>
    <border>
      <left style="medium">
        <color indexed="10"/>
      </left>
      <right style="thick">
        <color indexed="29"/>
      </right>
      <top style="thick">
        <color indexed="29"/>
      </top>
      <bottom style="thick">
        <color indexed="29"/>
      </bottom>
      <diagonal/>
    </border>
    <border>
      <left style="thick">
        <color indexed="29"/>
      </left>
      <right style="thick">
        <color indexed="29"/>
      </right>
      <top style="thick">
        <color indexed="29"/>
      </top>
      <bottom style="thick">
        <color indexed="29"/>
      </bottom>
      <diagonal/>
    </border>
    <border>
      <left style="medium">
        <color indexed="10"/>
      </left>
      <right style="medium">
        <color indexed="10"/>
      </right>
      <top style="medium">
        <color indexed="29"/>
      </top>
      <bottom style="medium">
        <color indexed="10"/>
      </bottom>
      <diagonal/>
    </border>
    <border>
      <left style="medium">
        <color indexed="10"/>
      </left>
      <right style="medium">
        <color indexed="10"/>
      </right>
      <top style="thick">
        <color indexed="29"/>
      </top>
      <bottom style="medium">
        <color indexed="10"/>
      </bottom>
      <diagonal/>
    </border>
    <border>
      <left style="thick">
        <color indexed="21"/>
      </left>
      <right style="medium">
        <color indexed="10"/>
      </right>
      <top style="medium">
        <color indexed="10"/>
      </top>
      <bottom>
        <color indexed="8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>
        <color indexed="8"/>
      </bottom>
      <diagonal/>
    </border>
    <border>
      <left style="medium">
        <color indexed="10"/>
      </left>
      <right style="thick">
        <color indexed="21"/>
      </right>
      <top style="medium">
        <color indexed="10"/>
      </top>
      <bottom>
        <color indexed="8"/>
      </bottom>
      <diagonal/>
    </border>
    <border>
      <left style="thick">
        <color indexed="21"/>
      </left>
      <right style="medium">
        <color indexed="10"/>
      </right>
      <top>
        <color indexed="8"/>
      </top>
      <bottom style="medium">
        <color indexed="10"/>
      </bottom>
      <diagonal/>
    </border>
    <border>
      <left style="medium">
        <color indexed="10"/>
      </left>
      <right style="medium">
        <color indexed="10"/>
      </right>
      <top>
        <color indexed="8"/>
      </top>
      <bottom style="medium">
        <color indexed="10"/>
      </bottom>
      <diagonal/>
    </border>
    <border>
      <left style="medium">
        <color indexed="10"/>
      </left>
      <right style="thick">
        <color indexed="21"/>
      </right>
      <top>
        <color indexed="8"/>
      </top>
      <bottom style="medium">
        <color indexed="10"/>
      </bottom>
      <diagonal/>
    </border>
    <border>
      <left style="thick">
        <color indexed="21"/>
      </left>
      <right style="thick">
        <color indexed="21"/>
      </right>
      <top>
        <color indexed="8"/>
      </top>
      <bottom style="medium">
        <color indexed="10"/>
      </bottom>
      <diagonal/>
    </border>
    <border>
      <left style="medium">
        <color indexed="10"/>
      </left>
      <right style="medium">
        <color indexed="10"/>
      </right>
      <top style="thick">
        <color indexed="18"/>
      </top>
      <bottom style="medium">
        <color indexed="10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thick">
        <color indexed="30"/>
      </bottom>
      <diagonal/>
    </border>
    <border>
      <left style="thick">
        <color indexed="30"/>
      </left>
      <right style="medium">
        <color indexed="10"/>
      </right>
      <top style="thick">
        <color indexed="30"/>
      </top>
      <bottom style="medium">
        <color indexed="10"/>
      </bottom>
      <diagonal/>
    </border>
    <border>
      <left style="medium">
        <color indexed="10"/>
      </left>
      <right style="medium">
        <color indexed="10"/>
      </right>
      <top style="thick">
        <color indexed="30"/>
      </top>
      <bottom style="medium">
        <color indexed="10"/>
      </bottom>
      <diagonal/>
    </border>
    <border>
      <left style="medium">
        <color indexed="10"/>
      </left>
      <right style="thick">
        <color indexed="30"/>
      </right>
      <top style="thick">
        <color indexed="30"/>
      </top>
      <bottom style="medium">
        <color indexed="10"/>
      </bottom>
      <diagonal/>
    </border>
    <border>
      <left style="thick">
        <color indexed="30"/>
      </left>
      <right style="thick">
        <color indexed="30"/>
      </right>
      <top style="thick">
        <color indexed="30"/>
      </top>
      <bottom style="medium">
        <color indexed="10"/>
      </bottom>
      <diagonal/>
    </border>
    <border>
      <left style="thick">
        <color indexed="30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10"/>
      </left>
      <right style="thick">
        <color indexed="30"/>
      </right>
      <top style="medium">
        <color indexed="10"/>
      </top>
      <bottom style="medium">
        <color indexed="10"/>
      </bottom>
      <diagonal/>
    </border>
    <border>
      <left style="thick">
        <color indexed="30"/>
      </left>
      <right style="thick">
        <color indexed="30"/>
      </right>
      <top style="medium">
        <color indexed="10"/>
      </top>
      <bottom style="medium">
        <color indexed="10"/>
      </bottom>
      <diagonal/>
    </border>
    <border>
      <left style="thick">
        <color indexed="30"/>
      </left>
      <right style="medium">
        <color indexed="10"/>
      </right>
      <top style="medium">
        <color indexed="10"/>
      </top>
      <bottom style="thick">
        <color indexed="10"/>
      </bottom>
      <diagonal/>
    </border>
    <border>
      <left style="medium">
        <color indexed="10"/>
      </left>
      <right style="thick">
        <color indexed="30"/>
      </right>
      <top style="medium">
        <color indexed="10"/>
      </top>
      <bottom style="thick">
        <color indexed="10"/>
      </bottom>
      <diagonal/>
    </border>
    <border>
      <left style="thick">
        <color indexed="30"/>
      </left>
      <right style="thick">
        <color indexed="30"/>
      </right>
      <top style="medium">
        <color indexed="10"/>
      </top>
      <bottom style="thick">
        <color indexed="10"/>
      </bottom>
      <diagonal/>
    </border>
    <border>
      <left style="thick">
        <color indexed="30"/>
      </left>
      <right style="medium">
        <color indexed="10"/>
      </right>
      <top style="thick">
        <color indexed="10"/>
      </top>
      <bottom style="medium">
        <color indexed="10"/>
      </bottom>
      <diagonal/>
    </border>
    <border>
      <left style="medium">
        <color indexed="10"/>
      </left>
      <right style="thick">
        <color indexed="30"/>
      </right>
      <top style="thick">
        <color indexed="10"/>
      </top>
      <bottom style="medium">
        <color indexed="10"/>
      </bottom>
      <diagonal/>
    </border>
    <border>
      <left style="thick">
        <color indexed="30"/>
      </left>
      <right style="thick">
        <color indexed="30"/>
      </right>
      <top style="thick">
        <color indexed="10"/>
      </top>
      <bottom style="medium">
        <color indexed="10"/>
      </bottom>
      <diagonal/>
    </border>
    <border>
      <left style="thick">
        <color indexed="30"/>
      </left>
      <right style="medium">
        <color indexed="10"/>
      </right>
      <top style="thick">
        <color indexed="10"/>
      </top>
      <bottom style="thick">
        <color indexed="30"/>
      </bottom>
      <diagonal/>
    </border>
    <border>
      <left style="medium">
        <color indexed="10"/>
      </left>
      <right style="medium">
        <color indexed="10"/>
      </right>
      <top style="thick">
        <color indexed="10"/>
      </top>
      <bottom style="thick">
        <color indexed="30"/>
      </bottom>
      <diagonal/>
    </border>
    <border>
      <left style="medium">
        <color indexed="10"/>
      </left>
      <right style="thick">
        <color indexed="30"/>
      </right>
      <top style="medium">
        <color indexed="10"/>
      </top>
      <bottom style="thick">
        <color indexed="30"/>
      </bottom>
      <diagonal/>
    </border>
    <border>
      <left style="thick">
        <color indexed="30"/>
      </left>
      <right style="thick">
        <color indexed="30"/>
      </right>
      <top style="medium">
        <color indexed="10"/>
      </top>
      <bottom style="thick">
        <color indexed="30"/>
      </bottom>
      <diagonal/>
    </border>
    <border>
      <left style="thick">
        <color indexed="18"/>
      </left>
      <right style="medium">
        <color indexed="10"/>
      </right>
      <top style="thick">
        <color indexed="18"/>
      </top>
      <bottom style="thick">
        <color indexed="31"/>
      </bottom>
      <diagonal/>
    </border>
    <border>
      <left style="medium">
        <color indexed="10"/>
      </left>
      <right style="medium">
        <color indexed="10"/>
      </right>
      <top style="thick">
        <color indexed="18"/>
      </top>
      <bottom style="thick">
        <color indexed="31"/>
      </bottom>
      <diagonal/>
    </border>
    <border>
      <left style="medium">
        <color indexed="10"/>
      </left>
      <right style="thick">
        <color indexed="18"/>
      </right>
      <top style="thick">
        <color indexed="18"/>
      </top>
      <bottom style="thick">
        <color indexed="31"/>
      </bottom>
      <diagonal/>
    </border>
    <border>
      <left style="thick">
        <color indexed="31"/>
      </left>
      <right style="medium">
        <color indexed="10"/>
      </right>
      <top style="thick">
        <color indexed="31"/>
      </top>
      <bottom style="thick">
        <color indexed="10"/>
      </bottom>
      <diagonal/>
    </border>
    <border>
      <left style="medium">
        <color indexed="10"/>
      </left>
      <right style="medium">
        <color indexed="10"/>
      </right>
      <top style="thick">
        <color indexed="31"/>
      </top>
      <bottom style="thick">
        <color indexed="10"/>
      </bottom>
      <diagonal/>
    </border>
    <border>
      <left style="medium">
        <color indexed="10"/>
      </left>
      <right style="thick">
        <color indexed="31"/>
      </right>
      <top style="thick">
        <color indexed="31"/>
      </top>
      <bottom style="thick">
        <color indexed="10"/>
      </bottom>
      <diagonal/>
    </border>
    <border>
      <left style="thick">
        <color indexed="31"/>
      </left>
      <right style="thick">
        <color indexed="31"/>
      </right>
      <top style="thick">
        <color indexed="31"/>
      </top>
      <bottom style="thick">
        <color indexed="10"/>
      </bottom>
      <diagonal/>
    </border>
    <border>
      <left style="thick">
        <color indexed="29"/>
      </left>
      <right style="medium">
        <color indexed="10"/>
      </right>
      <top style="thick">
        <color indexed="29"/>
      </top>
      <bottom style="thick">
        <color indexed="29"/>
      </bottom>
      <diagonal/>
    </border>
    <border>
      <left>
        <color indexed="8"/>
      </left>
      <right style="medium">
        <color indexed="10"/>
      </right>
      <top style="thick">
        <color indexed="29"/>
      </top>
      <bottom>
        <color indexed="8"/>
      </bottom>
      <diagonal/>
    </border>
    <border>
      <left style="medium">
        <color indexed="10"/>
      </left>
      <right style="medium">
        <color indexed="10"/>
      </right>
      <top style="thick">
        <color indexed="29"/>
      </top>
      <bottom>
        <color indexed="8"/>
      </bottom>
      <diagonal/>
    </border>
    <border>
      <left style="medium">
        <color indexed="10"/>
      </left>
      <right style="thick">
        <color indexed="29"/>
      </right>
      <top style="thick">
        <color indexed="29"/>
      </top>
      <bottom>
        <color indexed="8"/>
      </bottom>
      <diagonal/>
    </border>
    <border>
      <left style="thick">
        <color indexed="29"/>
      </left>
      <right>
        <color indexed="8"/>
      </right>
      <top style="thick">
        <color indexed="29"/>
      </top>
      <bottom>
        <color indexed="8"/>
      </bottom>
      <diagonal/>
    </border>
    <border>
      <left style="medium">
        <color indexed="13"/>
      </left>
      <right style="medium">
        <color indexed="10"/>
      </right>
      <top style="medium">
        <color indexed="10"/>
      </top>
      <bottom style="medium">
        <color indexed="15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medium">
        <color indexed="15"/>
      </bottom>
      <diagonal/>
    </border>
    <border>
      <left style="medium">
        <color indexed="10"/>
      </left>
      <right style="medium">
        <color indexed="13"/>
      </right>
      <top style="medium">
        <color indexed="10"/>
      </top>
      <bottom style="medium">
        <color indexed="15"/>
      </bottom>
      <diagonal/>
    </border>
    <border>
      <left style="medium">
        <color indexed="15"/>
      </left>
      <right>
        <color indexed="8"/>
      </right>
      <top style="medium">
        <color indexed="15"/>
      </top>
      <bottom style="medium">
        <color indexed="15"/>
      </bottom>
      <diagonal/>
    </border>
    <border>
      <left>
        <color indexed="8"/>
      </left>
      <right>
        <color indexed="8"/>
      </right>
      <top style="medium">
        <color indexed="15"/>
      </top>
      <bottom style="medium">
        <color indexed="15"/>
      </bottom>
      <diagonal/>
    </border>
    <border>
      <left>
        <color indexed="8"/>
      </left>
      <right style="medium">
        <color indexed="13"/>
      </right>
      <top style="medium">
        <color indexed="15"/>
      </top>
      <bottom style="medium">
        <color indexed="15"/>
      </bottom>
      <diagonal/>
    </border>
    <border>
      <left style="medium">
        <color indexed="15"/>
      </left>
      <right style="medium">
        <color indexed="15"/>
      </right>
      <top style="medium">
        <color indexed="15"/>
      </top>
      <bottom style="medium">
        <color indexed="15"/>
      </bottom>
      <diagonal/>
    </border>
    <border>
      <left style="medium">
        <color indexed="15"/>
      </left>
      <right style="medium">
        <color indexed="13"/>
      </right>
      <top style="medium">
        <color indexed="15"/>
      </top>
      <bottom style="medium">
        <color indexed="15"/>
      </bottom>
      <diagonal/>
    </border>
    <border>
      <left style="medium">
        <color indexed="13"/>
      </left>
      <right style="medium">
        <color indexed="10"/>
      </right>
      <top style="medium">
        <color indexed="15"/>
      </top>
      <bottom style="medium">
        <color indexed="10"/>
      </bottom>
      <diagonal/>
    </border>
    <border>
      <left style="medium">
        <color indexed="10"/>
      </left>
      <right style="medium">
        <color indexed="10"/>
      </right>
      <top style="medium">
        <color indexed="15"/>
      </top>
      <bottom style="medium">
        <color indexed="10"/>
      </bottom>
      <diagonal/>
    </border>
    <border>
      <left style="medium">
        <color indexed="10"/>
      </left>
      <right style="medium">
        <color indexed="13"/>
      </right>
      <top style="medium">
        <color indexed="15"/>
      </top>
      <bottom style="medium">
        <color indexed="10"/>
      </bottom>
      <diagonal/>
    </border>
    <border>
      <left style="thin">
        <color indexed="35"/>
      </left>
      <right style="thin">
        <color indexed="36"/>
      </right>
      <top style="medium">
        <color indexed="13"/>
      </top>
      <bottom style="medium">
        <color indexed="10"/>
      </bottom>
      <diagonal/>
    </border>
    <border>
      <left style="thin">
        <color indexed="36"/>
      </left>
      <right style="thin">
        <color indexed="35"/>
      </right>
      <top style="medium">
        <color indexed="13"/>
      </top>
      <bottom style="medium">
        <color indexed="10"/>
      </bottom>
      <diagonal/>
    </border>
    <border>
      <left style="thin">
        <color indexed="35"/>
      </left>
      <right style="thin">
        <color indexed="35"/>
      </right>
      <top style="medium">
        <color indexed="13"/>
      </top>
      <bottom style="medium">
        <color indexed="10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thick">
        <color indexed="38"/>
      </bottom>
      <diagonal/>
    </border>
    <border>
      <left style="thick">
        <color indexed="38"/>
      </left>
      <right style="medium">
        <color indexed="10"/>
      </right>
      <top style="thick">
        <color indexed="38"/>
      </top>
      <bottom style="thick">
        <color indexed="38"/>
      </bottom>
      <diagonal/>
    </border>
    <border>
      <left style="medium">
        <color indexed="10"/>
      </left>
      <right style="medium">
        <color indexed="10"/>
      </right>
      <top style="thick">
        <color indexed="38"/>
      </top>
      <bottom style="thick">
        <color indexed="38"/>
      </bottom>
      <diagonal/>
    </border>
    <border>
      <left style="medium">
        <color indexed="10"/>
      </left>
      <right style="thick">
        <color indexed="38"/>
      </right>
      <top style="thick">
        <color indexed="38"/>
      </top>
      <bottom style="thick">
        <color indexed="38"/>
      </bottom>
      <diagonal/>
    </border>
    <border>
      <left style="medium">
        <color indexed="10"/>
      </left>
      <right style="medium">
        <color indexed="10"/>
      </right>
      <top style="thick">
        <color indexed="38"/>
      </top>
      <bottom style="medium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3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center" wrapText="1"/>
    </xf>
    <xf numFmtId="0" fontId="3" fillId="3" borderId="2" applyNumberFormat="0" applyFont="1" applyFill="1" applyBorder="1" applyAlignment="1" applyProtection="0">
      <alignment horizontal="center" vertical="center" wrapText="1"/>
    </xf>
    <xf numFmtId="0" fontId="3" fillId="3" borderId="3" applyNumberFormat="0" applyFont="1" applyFill="1" applyBorder="1" applyAlignment="1" applyProtection="0">
      <alignment horizontal="center" vertical="center" wrapText="1"/>
    </xf>
    <xf numFmtId="49" fontId="4" fillId="4" borderId="4" applyNumberFormat="1" applyFont="1" applyFill="1" applyBorder="1" applyAlignment="1" applyProtection="0">
      <alignment horizontal="center" vertical="center" wrapText="1"/>
    </xf>
    <xf numFmtId="49" fontId="5" fillId="2" borderId="4" applyNumberFormat="1" applyFont="1" applyFill="1" applyBorder="1" applyAlignment="1" applyProtection="0">
      <alignment horizontal="center" vertical="center" wrapText="1"/>
    </xf>
    <xf numFmtId="49" fontId="6" fillId="2" borderId="4" applyNumberFormat="1" applyFont="1" applyFill="1" applyBorder="1" applyAlignment="1" applyProtection="0">
      <alignment horizontal="center" vertical="center" wrapText="1"/>
    </xf>
    <xf numFmtId="49" fontId="7" fillId="5" borderId="5" applyNumberFormat="1" applyFont="1" applyFill="1" applyBorder="1" applyAlignment="1" applyProtection="0">
      <alignment horizontal="left" vertical="center"/>
    </xf>
    <xf numFmtId="59" fontId="8" fillId="5" borderId="5" applyNumberFormat="1" applyFont="1" applyFill="1" applyBorder="1" applyAlignment="1" applyProtection="0">
      <alignment horizontal="left" vertical="center" wrapText="1"/>
    </xf>
    <xf numFmtId="59" fontId="9" fillId="5" borderId="5" applyNumberFormat="1" applyFont="1" applyFill="1" applyBorder="1" applyAlignment="1" applyProtection="0">
      <alignment horizontal="center" vertical="center" wrapText="1"/>
    </xf>
    <xf numFmtId="49" fontId="10" fillId="6" borderId="6" applyNumberFormat="1" applyFont="1" applyFill="1" applyBorder="1" applyAlignment="1" applyProtection="0">
      <alignment horizontal="left" vertical="center" wrapText="1"/>
    </xf>
    <xf numFmtId="0" fontId="10" fillId="6" borderId="7" applyNumberFormat="1" applyFont="1" applyFill="1" applyBorder="1" applyAlignment="1" applyProtection="0">
      <alignment horizontal="center" vertical="center" wrapText="1"/>
    </xf>
    <xf numFmtId="59" fontId="10" fillId="6" borderId="7" applyNumberFormat="1" applyFont="1" applyFill="1" applyBorder="1" applyAlignment="1" applyProtection="0">
      <alignment vertical="center" wrapText="1"/>
    </xf>
    <xf numFmtId="60" fontId="10" fillId="6" borderId="7" applyNumberFormat="1" applyFont="1" applyFill="1" applyBorder="1" applyAlignment="1" applyProtection="0">
      <alignment vertical="center" wrapText="1"/>
    </xf>
    <xf numFmtId="59" fontId="11" fillId="6" borderId="8" applyNumberFormat="1" applyFont="1" applyFill="1" applyBorder="1" applyAlignment="1" applyProtection="0">
      <alignment vertical="center" wrapText="1"/>
    </xf>
    <xf numFmtId="49" fontId="10" fillId="2" borderId="9" applyNumberFormat="1" applyFont="1" applyFill="1" applyBorder="1" applyAlignment="1" applyProtection="0">
      <alignment vertical="center" wrapText="1"/>
    </xf>
    <xf numFmtId="0" fontId="10" fillId="2" borderId="4" applyNumberFormat="1" applyFont="1" applyFill="1" applyBorder="1" applyAlignment="1" applyProtection="0">
      <alignment horizontal="center" vertical="center" wrapText="1"/>
    </xf>
    <xf numFmtId="59" fontId="10" fillId="2" borderId="4" applyNumberFormat="1" applyFont="1" applyFill="1" applyBorder="1" applyAlignment="1" applyProtection="0">
      <alignment vertical="center" wrapText="1"/>
    </xf>
    <xf numFmtId="60" fontId="10" fillId="2" borderId="4" applyNumberFormat="1" applyFont="1" applyFill="1" applyBorder="1" applyAlignment="1" applyProtection="0">
      <alignment vertical="center" wrapText="1"/>
    </xf>
    <xf numFmtId="59" fontId="11" fillId="2" borderId="10" applyNumberFormat="1" applyFont="1" applyFill="1" applyBorder="1" applyAlignment="1" applyProtection="0">
      <alignment vertical="center" wrapText="1"/>
    </xf>
    <xf numFmtId="49" fontId="10" fillId="2" borderId="11" applyNumberFormat="1" applyFont="1" applyFill="1" applyBorder="1" applyAlignment="1" applyProtection="0">
      <alignment vertical="center" wrapText="1"/>
    </xf>
    <xf numFmtId="0" fontId="10" fillId="2" borderId="5" applyNumberFormat="1" applyFont="1" applyFill="1" applyBorder="1" applyAlignment="1" applyProtection="0">
      <alignment horizontal="center" vertical="center" wrapText="1"/>
    </xf>
    <xf numFmtId="59" fontId="10" fillId="2" borderId="5" applyNumberFormat="1" applyFont="1" applyFill="1" applyBorder="1" applyAlignment="1" applyProtection="0">
      <alignment vertical="center" wrapText="1"/>
    </xf>
    <xf numFmtId="60" fontId="10" fillId="2" borderId="5" applyNumberFormat="1" applyFont="1" applyFill="1" applyBorder="1" applyAlignment="1" applyProtection="0">
      <alignment vertical="center" wrapText="1"/>
    </xf>
    <xf numFmtId="59" fontId="11" fillId="2" borderId="12" applyNumberFormat="1" applyFont="1" applyFill="1" applyBorder="1" applyAlignment="1" applyProtection="0">
      <alignment vertical="center" wrapText="1"/>
    </xf>
    <xf numFmtId="49" fontId="10" fillId="4" borderId="13" applyNumberFormat="1" applyFont="1" applyFill="1" applyBorder="1" applyAlignment="1" applyProtection="0">
      <alignment vertical="center" wrapText="1"/>
    </xf>
    <xf numFmtId="0" fontId="10" fillId="4" borderId="13" applyNumberFormat="1" applyFont="1" applyFill="1" applyBorder="1" applyAlignment="1" applyProtection="0">
      <alignment horizontal="center" vertical="center" wrapText="1"/>
    </xf>
    <xf numFmtId="59" fontId="10" fillId="4" borderId="13" applyNumberFormat="1" applyFont="1" applyFill="1" applyBorder="1" applyAlignment="1" applyProtection="0">
      <alignment vertical="center" wrapText="1"/>
    </xf>
    <xf numFmtId="60" fontId="10" fillId="4" borderId="13" applyNumberFormat="1" applyFont="1" applyFill="1" applyBorder="1" applyAlignment="1" applyProtection="0">
      <alignment vertical="center" wrapText="1"/>
    </xf>
    <xf numFmtId="59" fontId="11" fillId="4" borderId="13" applyNumberFormat="1" applyFont="1" applyFill="1" applyBorder="1" applyAlignment="1" applyProtection="0">
      <alignment vertical="center" wrapText="1"/>
    </xf>
    <xf numFmtId="49" fontId="10" fillId="4" borderId="14" applyNumberFormat="1" applyFont="1" applyFill="1" applyBorder="1" applyAlignment="1" applyProtection="0">
      <alignment vertical="center" wrapText="1"/>
    </xf>
    <xf numFmtId="0" fontId="10" fillId="4" borderId="14" applyNumberFormat="1" applyFont="1" applyFill="1" applyBorder="1" applyAlignment="1" applyProtection="0">
      <alignment horizontal="center" vertical="center" wrapText="1"/>
    </xf>
    <xf numFmtId="59" fontId="10" fillId="4" borderId="14" applyNumberFormat="1" applyFont="1" applyFill="1" applyBorder="1" applyAlignment="1" applyProtection="0">
      <alignment vertical="center" wrapText="1"/>
    </xf>
    <xf numFmtId="60" fontId="10" fillId="4" borderId="14" applyNumberFormat="1" applyFont="1" applyFill="1" applyBorder="1" applyAlignment="1" applyProtection="0">
      <alignment vertical="center" wrapText="1"/>
    </xf>
    <xf numFmtId="59" fontId="11" fillId="4" borderId="14" applyNumberFormat="1" applyFont="1" applyFill="1" applyBorder="1" applyAlignment="1" applyProtection="0">
      <alignment vertical="center" wrapText="1"/>
    </xf>
    <xf numFmtId="49" fontId="12" fillId="7" borderId="15" applyNumberFormat="1" applyFont="1" applyFill="1" applyBorder="1" applyAlignment="1" applyProtection="0">
      <alignment horizontal="left" vertical="center"/>
    </xf>
    <xf numFmtId="49" fontId="13" fillId="7" borderId="16" applyNumberFormat="1" applyFont="1" applyFill="1" applyBorder="1" applyAlignment="1" applyProtection="0">
      <alignment horizontal="left" vertical="center" wrapText="1"/>
    </xf>
    <xf numFmtId="59" fontId="14" fillId="7" borderId="17" applyNumberFormat="1" applyFont="1" applyFill="1" applyBorder="1" applyAlignment="1" applyProtection="0">
      <alignment horizontal="center" vertical="center" wrapText="1"/>
    </xf>
    <xf numFmtId="49" fontId="10" fillId="2" borderId="18" applyNumberFormat="1" applyFont="1" applyFill="1" applyBorder="1" applyAlignment="1" applyProtection="0">
      <alignment vertical="center"/>
    </xf>
    <xf numFmtId="59" fontId="10" fillId="2" borderId="4" applyNumberFormat="1" applyFont="1" applyFill="1" applyBorder="1" applyAlignment="1" applyProtection="0">
      <alignment horizontal="center" vertical="center" wrapText="1"/>
    </xf>
    <xf numFmtId="59" fontId="15" fillId="2" borderId="19" applyNumberFormat="1" applyFont="1" applyFill="1" applyBorder="1" applyAlignment="1" applyProtection="0">
      <alignment vertical="center" wrapText="1"/>
    </xf>
    <xf numFmtId="49" fontId="10" fillId="2" borderId="20" applyNumberFormat="1" applyFont="1" applyFill="1" applyBorder="1" applyAlignment="1" applyProtection="0">
      <alignment horizontal="left" vertical="center" wrapText="1"/>
    </xf>
    <xf numFmtId="0" fontId="10" fillId="2" borderId="21" applyNumberFormat="1" applyFont="1" applyFill="1" applyBorder="1" applyAlignment="1" applyProtection="0">
      <alignment horizontal="center" vertical="center" wrapText="1"/>
    </xf>
    <xf numFmtId="59" fontId="10" fillId="2" borderId="21" applyNumberFormat="1" applyFont="1" applyFill="1" applyBorder="1" applyAlignment="1" applyProtection="0">
      <alignment vertical="center" wrapText="1"/>
    </xf>
    <xf numFmtId="60" fontId="10" fillId="2" borderId="21" applyNumberFormat="1" applyFont="1" applyFill="1" applyBorder="1" applyAlignment="1" applyProtection="0">
      <alignment vertical="center" wrapText="1"/>
    </xf>
    <xf numFmtId="59" fontId="15" fillId="2" borderId="22" applyNumberFormat="1" applyFont="1" applyFill="1" applyBorder="1" applyAlignment="1" applyProtection="0">
      <alignment vertical="center" wrapText="1"/>
    </xf>
    <xf numFmtId="0" fontId="16" fillId="4" borderId="23" applyNumberFormat="0" applyFont="1" applyFill="1" applyBorder="1" applyAlignment="1" applyProtection="0">
      <alignment vertical="top" wrapText="1"/>
    </xf>
    <xf numFmtId="0" fontId="16" fillId="4" borderId="23" applyNumberFormat="1" applyFont="1" applyFill="1" applyBorder="1" applyAlignment="1" applyProtection="0">
      <alignment horizontal="center" vertical="top" wrapText="1"/>
    </xf>
    <xf numFmtId="59" fontId="16" fillId="4" borderId="23" applyNumberFormat="1" applyFont="1" applyFill="1" applyBorder="1" applyAlignment="1" applyProtection="0">
      <alignment vertical="top" wrapText="1"/>
    </xf>
    <xf numFmtId="49" fontId="17" fillId="8" borderId="24" applyNumberFormat="1" applyFont="1" applyFill="1" applyBorder="1" applyAlignment="1" applyProtection="0">
      <alignment horizontal="left" vertical="center"/>
    </xf>
    <xf numFmtId="0" fontId="18" fillId="8" borderId="25" applyNumberFormat="1" applyFont="1" applyFill="1" applyBorder="1" applyAlignment="1" applyProtection="0">
      <alignment horizontal="center" vertical="center" wrapText="1"/>
    </xf>
    <xf numFmtId="59" fontId="18" fillId="8" borderId="25" applyNumberFormat="1" applyFont="1" applyFill="1" applyBorder="1" applyAlignment="1" applyProtection="0">
      <alignment horizontal="left" vertical="center" wrapText="1"/>
    </xf>
    <xf numFmtId="49" fontId="18" fillId="8" borderId="25" applyNumberFormat="1" applyFont="1" applyFill="1" applyBorder="1" applyAlignment="1" applyProtection="0">
      <alignment horizontal="left" vertical="center" wrapText="1"/>
    </xf>
    <xf numFmtId="59" fontId="19" fillId="8" borderId="26" applyNumberFormat="1" applyFont="1" applyFill="1" applyBorder="1" applyAlignment="1" applyProtection="0">
      <alignment horizontal="center" vertical="center"/>
    </xf>
    <xf numFmtId="49" fontId="10" fillId="2" borderId="27" applyNumberFormat="1" applyFont="1" applyFill="1" applyBorder="1" applyAlignment="1" applyProtection="0">
      <alignment horizontal="left" vertical="center" wrapText="1"/>
    </xf>
    <xf numFmtId="59" fontId="20" fillId="2" borderId="28" applyNumberFormat="1" applyFont="1" applyFill="1" applyBorder="1" applyAlignment="1" applyProtection="0">
      <alignment vertical="center" wrapText="1"/>
    </xf>
    <xf numFmtId="49" fontId="10" fillId="2" borderId="27" applyNumberFormat="1" applyFont="1" applyFill="1" applyBorder="1" applyAlignment="1" applyProtection="0">
      <alignment vertical="center" wrapText="1"/>
    </xf>
    <xf numFmtId="49" fontId="10" fillId="2" borderId="29" applyNumberFormat="1" applyFont="1" applyFill="1" applyBorder="1" applyAlignment="1" applyProtection="0">
      <alignment vertical="center" wrapText="1"/>
    </xf>
    <xf numFmtId="0" fontId="10" fillId="2" borderId="30" applyNumberFormat="1" applyFont="1" applyFill="1" applyBorder="1" applyAlignment="1" applyProtection="0">
      <alignment horizontal="center" vertical="center" wrapText="1"/>
    </xf>
    <xf numFmtId="59" fontId="10" fillId="2" borderId="30" applyNumberFormat="1" applyFont="1" applyFill="1" applyBorder="1" applyAlignment="1" applyProtection="0">
      <alignment vertical="center" wrapText="1"/>
    </xf>
    <xf numFmtId="60" fontId="10" fillId="2" borderId="30" applyNumberFormat="1" applyFont="1" applyFill="1" applyBorder="1" applyAlignment="1" applyProtection="0">
      <alignment vertical="center" wrapText="1"/>
    </xf>
    <xf numFmtId="59" fontId="20" fillId="2" borderId="31" applyNumberFormat="1" applyFont="1" applyFill="1" applyBorder="1" applyAlignment="1" applyProtection="0">
      <alignment vertical="center" wrapText="1"/>
    </xf>
    <xf numFmtId="0" fontId="16" fillId="4" borderId="25" applyNumberFormat="0" applyFont="1" applyFill="1" applyBorder="1" applyAlignment="1" applyProtection="0">
      <alignment vertical="top" wrapText="1"/>
    </xf>
    <xf numFmtId="0" fontId="16" fillId="4" borderId="25" applyNumberFormat="1" applyFont="1" applyFill="1" applyBorder="1" applyAlignment="1" applyProtection="0">
      <alignment horizontal="center" vertical="top" wrapText="1"/>
    </xf>
    <xf numFmtId="49" fontId="21" fillId="5" borderId="4" applyNumberFormat="1" applyFont="1" applyFill="1" applyBorder="1" applyAlignment="1" applyProtection="0">
      <alignment horizontal="left" vertical="center"/>
    </xf>
    <xf numFmtId="59" fontId="8" fillId="5" borderId="4" applyNumberFormat="1" applyFont="1" applyFill="1" applyBorder="1" applyAlignment="1" applyProtection="0">
      <alignment horizontal="left" vertical="center" wrapText="1"/>
    </xf>
    <xf numFmtId="59" fontId="6" fillId="5" borderId="4" applyNumberFormat="1" applyFont="1" applyFill="1" applyBorder="1" applyAlignment="1" applyProtection="0">
      <alignment horizontal="center" vertical="center" wrapText="1"/>
    </xf>
    <xf numFmtId="49" fontId="21" fillId="7" borderId="4" applyNumberFormat="1" applyFont="1" applyFill="1" applyBorder="1" applyAlignment="1" applyProtection="0">
      <alignment horizontal="left" vertical="center"/>
    </xf>
    <xf numFmtId="49" fontId="8" fillId="7" borderId="4" applyNumberFormat="1" applyFont="1" applyFill="1" applyBorder="1" applyAlignment="1" applyProtection="0">
      <alignment horizontal="left" vertical="center" wrapText="1"/>
    </xf>
    <xf numFmtId="59" fontId="6" fillId="7" borderId="4" applyNumberFormat="1" applyFont="1" applyFill="1" applyBorder="1" applyAlignment="1" applyProtection="0">
      <alignment horizontal="center" vertical="center" wrapText="1"/>
    </xf>
    <xf numFmtId="49" fontId="21" fillId="8" borderId="4" applyNumberFormat="1" applyFont="1" applyFill="1" applyBorder="1" applyAlignment="1" applyProtection="0">
      <alignment horizontal="left" vertical="center"/>
    </xf>
    <xf numFmtId="0" fontId="8" fillId="8" borderId="4" applyNumberFormat="1" applyFont="1" applyFill="1" applyBorder="1" applyAlignment="1" applyProtection="0">
      <alignment horizontal="center" vertical="center" wrapText="1"/>
    </xf>
    <xf numFmtId="59" fontId="8" fillId="8" borderId="4" applyNumberFormat="1" applyFont="1" applyFill="1" applyBorder="1" applyAlignment="1" applyProtection="0">
      <alignment horizontal="left" vertical="center" wrapText="1"/>
    </xf>
    <xf numFmtId="49" fontId="8" fillId="8" borderId="4" applyNumberFormat="1" applyFont="1" applyFill="1" applyBorder="1" applyAlignment="1" applyProtection="0">
      <alignment horizontal="left" vertical="center" wrapText="1"/>
    </xf>
    <xf numFmtId="59" fontId="6" fillId="8" borderId="4" applyNumberFormat="1" applyFont="1" applyFill="1" applyBorder="1" applyAlignment="1" applyProtection="0">
      <alignment horizontal="center" vertical="center"/>
    </xf>
    <xf numFmtId="49" fontId="21" fillId="2" borderId="4" applyNumberFormat="1" applyFont="1" applyFill="1" applyBorder="1" applyAlignment="1" applyProtection="0">
      <alignment horizontal="left" vertical="center"/>
    </xf>
    <xf numFmtId="49" fontId="8" fillId="2" borderId="4" applyNumberFormat="1" applyFont="1" applyFill="1" applyBorder="1" applyAlignment="1" applyProtection="0">
      <alignment horizontal="left" vertical="center" wrapText="1"/>
    </xf>
    <xf numFmtId="59" fontId="6" fillId="2" borderId="4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49" fontId="5" fillId="2" borderId="21" applyNumberFormat="1" applyFont="1" applyFill="1" applyBorder="1" applyAlignment="1" applyProtection="0">
      <alignment horizontal="center" vertical="center" wrapText="1"/>
    </xf>
    <xf numFmtId="49" fontId="6" fillId="2" borderId="21" applyNumberFormat="1" applyFont="1" applyFill="1" applyBorder="1" applyAlignment="1" applyProtection="0">
      <alignment horizontal="center" vertical="center" wrapText="1"/>
    </xf>
    <xf numFmtId="49" fontId="14" fillId="7" borderId="17" applyNumberFormat="1" applyFont="1" applyFill="1" applyBorder="1" applyAlignment="1" applyProtection="0">
      <alignment horizontal="center" vertical="center" wrapText="1"/>
    </xf>
    <xf numFmtId="49" fontId="10" fillId="2" borderId="18" applyNumberFormat="1" applyFont="1" applyFill="1" applyBorder="1" applyAlignment="1" applyProtection="0">
      <alignment vertical="center" wrapText="1"/>
    </xf>
    <xf numFmtId="49" fontId="19" fillId="8" borderId="26" applyNumberFormat="1" applyFont="1" applyFill="1" applyBorder="1" applyAlignment="1" applyProtection="0">
      <alignment horizontal="center" vertical="center"/>
    </xf>
    <xf numFmtId="49" fontId="10" fillId="2" borderId="9" applyNumberFormat="1" applyFont="1" applyFill="1" applyBorder="1" applyAlignment="1" applyProtection="0">
      <alignment vertical="center" indent="1" wrapText="1"/>
    </xf>
    <xf numFmtId="59" fontId="23" fillId="2" borderId="10" applyNumberFormat="1" applyFont="1" applyFill="1" applyBorder="1" applyAlignment="1" applyProtection="0">
      <alignment vertical="center" wrapText="1"/>
    </xf>
    <xf numFmtId="49" fontId="10" fillId="2" borderId="9" applyNumberFormat="1" applyFont="1" applyFill="1" applyBorder="1" applyAlignment="1" applyProtection="0">
      <alignment horizontal="left" vertical="center" wrapText="1"/>
    </xf>
    <xf numFmtId="49" fontId="10" fillId="2" borderId="7" applyNumberFormat="1" applyFont="1" applyFill="1" applyBorder="1" applyAlignment="1" applyProtection="0">
      <alignment vertical="center" wrapText="1"/>
    </xf>
    <xf numFmtId="0" fontId="10" fillId="2" borderId="7" applyNumberFormat="1" applyFont="1" applyFill="1" applyBorder="1" applyAlignment="1" applyProtection="0">
      <alignment horizontal="center" vertical="center" wrapText="1"/>
    </xf>
    <xf numFmtId="59" fontId="10" fillId="2" borderId="7" applyNumberFormat="1" applyFont="1" applyFill="1" applyBorder="1" applyAlignment="1" applyProtection="0">
      <alignment vertical="center" wrapText="1"/>
    </xf>
    <xf numFmtId="60" fontId="10" fillId="2" borderId="7" applyNumberFormat="1" applyFont="1" applyFill="1" applyBorder="1" applyAlignment="1" applyProtection="0">
      <alignment vertical="center" wrapText="1"/>
    </xf>
    <xf numFmtId="59" fontId="24" fillId="2" borderId="7" applyNumberFormat="1" applyFont="1" applyFill="1" applyBorder="1" applyAlignment="1" applyProtection="0">
      <alignment vertical="center" wrapText="1"/>
    </xf>
    <xf numFmtId="49" fontId="21" fillId="7" borderId="4" applyNumberFormat="1" applyFont="1" applyFill="1" applyBorder="1" applyAlignment="1" applyProtection="0">
      <alignment horizontal="left" vertical="center" indent="1"/>
    </xf>
    <xf numFmtId="49" fontId="8" fillId="7" borderId="4" applyNumberFormat="1" applyFont="1" applyFill="1" applyBorder="1" applyAlignment="1" applyProtection="0">
      <alignment horizontal="center" vertical="center" wrapText="1"/>
    </xf>
    <xf numFmtId="0" fontId="0" borderId="4" applyNumberFormat="0" applyFont="1" applyFill="0" applyBorder="1" applyAlignment="1" applyProtection="0">
      <alignment vertical="top" wrapText="1"/>
    </xf>
    <xf numFmtId="59" fontId="26" fillId="7" borderId="4" applyNumberFormat="1" applyFont="1" applyFill="1" applyBorder="1" applyAlignment="1" applyProtection="0">
      <alignment horizontal="left" vertical="center" wrapText="1"/>
    </xf>
    <xf numFmtId="0" fontId="6" fillId="7" borderId="4" applyNumberFormat="0" applyFont="1" applyFill="1" applyBorder="1" applyAlignment="1" applyProtection="0">
      <alignment horizontal="center" vertical="center" wrapText="1"/>
    </xf>
    <xf numFmtId="49" fontId="8" fillId="8" borderId="4" applyNumberFormat="1" applyFont="1" applyFill="1" applyBorder="1" applyAlignment="1" applyProtection="0">
      <alignment horizontal="center" vertical="center" wrapText="1"/>
    </xf>
    <xf numFmtId="59" fontId="26" fillId="8" borderId="4" applyNumberFormat="1" applyFont="1" applyFill="1" applyBorder="1" applyAlignment="1" applyProtection="0">
      <alignment horizontal="center" vertical="center" wrapText="1"/>
    </xf>
    <xf numFmtId="0" fontId="6" fillId="8" borderId="4" applyNumberFormat="0" applyFont="1" applyFill="1" applyBorder="1" applyAlignment="1" applyProtection="0">
      <alignment horizontal="center" vertical="center"/>
    </xf>
    <xf numFmtId="49" fontId="27" fillId="9" borderId="4" applyNumberFormat="1" applyFont="1" applyFill="1" applyBorder="1" applyAlignment="1" applyProtection="0">
      <alignment horizontal="center" vertical="center" wrapText="1"/>
    </xf>
    <xf numFmtId="0" fontId="27" fillId="9" borderId="4" applyNumberFormat="0" applyFont="1" applyFill="1" applyBorder="1" applyAlignment="1" applyProtection="0">
      <alignment horizontal="center" vertical="center" wrapText="1"/>
    </xf>
    <xf numFmtId="59" fontId="27" fillId="9" borderId="4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49" fontId="28" fillId="2" borderId="1" applyNumberFormat="1" applyFont="1" applyFill="1" applyBorder="1" applyAlignment="1" applyProtection="0">
      <alignment horizontal="center" vertical="center" wrapText="1"/>
    </xf>
    <xf numFmtId="49" fontId="28" fillId="2" borderId="4" applyNumberFormat="1" applyFont="1" applyFill="1" applyBorder="1" applyAlignment="1" applyProtection="0">
      <alignment horizontal="center" vertical="center" wrapText="1"/>
    </xf>
    <xf numFmtId="49" fontId="29" fillId="4" borderId="4" applyNumberFormat="1" applyFont="1" applyFill="1" applyBorder="1" applyAlignment="1" applyProtection="0">
      <alignment horizontal="center" vertical="center" wrapText="1"/>
    </xf>
    <xf numFmtId="49" fontId="30" fillId="2" borderId="32" applyNumberFormat="1" applyFont="1" applyFill="1" applyBorder="1" applyAlignment="1" applyProtection="0">
      <alignment horizontal="center" vertical="center" wrapText="1"/>
    </xf>
    <xf numFmtId="49" fontId="31" fillId="7" borderId="33" applyNumberFormat="1" applyFont="1" applyFill="1" applyBorder="1" applyAlignment="1" applyProtection="0">
      <alignment horizontal="left" vertical="center"/>
    </xf>
    <xf numFmtId="49" fontId="32" fillId="7" borderId="34" applyNumberFormat="1" applyFont="1" applyFill="1" applyBorder="1" applyAlignment="1" applyProtection="0">
      <alignment horizontal="left" vertical="center" wrapText="1"/>
    </xf>
    <xf numFmtId="59" fontId="33" fillId="7" borderId="35" applyNumberFormat="1" applyFont="1" applyFill="1" applyBorder="1" applyAlignment="1" applyProtection="0">
      <alignment horizontal="center" vertical="center" wrapText="1"/>
    </xf>
    <xf numFmtId="59" fontId="33" fillId="7" borderId="36" applyNumberFormat="1" applyFont="1" applyFill="1" applyBorder="1" applyAlignment="1" applyProtection="0">
      <alignment horizontal="center" vertical="center" wrapText="1"/>
    </xf>
    <xf numFmtId="49" fontId="34" fillId="2" borderId="37" applyNumberFormat="1" applyFont="1" applyFill="1" applyBorder="1" applyAlignment="1" applyProtection="0">
      <alignment vertical="center" indent="1"/>
    </xf>
    <xf numFmtId="0" fontId="35" fillId="2" borderId="4" applyNumberFormat="1" applyFont="1" applyFill="1" applyBorder="1" applyAlignment="1" applyProtection="0">
      <alignment horizontal="center" vertical="center" wrapText="1"/>
    </xf>
    <xf numFmtId="59" fontId="35" fillId="2" borderId="4" applyNumberFormat="1" applyFont="1" applyFill="1" applyBorder="1" applyAlignment="1" applyProtection="0">
      <alignment horizontal="center" vertical="center" wrapText="1"/>
    </xf>
    <xf numFmtId="59" fontId="35" fillId="2" borderId="4" applyNumberFormat="1" applyFont="1" applyFill="1" applyBorder="1" applyAlignment="1" applyProtection="0">
      <alignment vertical="center" wrapText="1"/>
    </xf>
    <xf numFmtId="60" fontId="35" fillId="2" borderId="4" applyNumberFormat="1" applyFont="1" applyFill="1" applyBorder="1" applyAlignment="1" applyProtection="0">
      <alignment vertical="center" wrapText="1"/>
    </xf>
    <xf numFmtId="59" fontId="36" fillId="2" borderId="38" applyNumberFormat="1" applyFont="1" applyFill="1" applyBorder="1" applyAlignment="1" applyProtection="0">
      <alignment vertical="center" wrapText="1"/>
    </xf>
    <xf numFmtId="59" fontId="36" fillId="2" borderId="39" applyNumberFormat="1" applyFont="1" applyFill="1" applyBorder="1" applyAlignment="1" applyProtection="0">
      <alignment vertical="center" wrapText="1"/>
    </xf>
    <xf numFmtId="49" fontId="35" fillId="2" borderId="37" applyNumberFormat="1" applyFont="1" applyFill="1" applyBorder="1" applyAlignment="1" applyProtection="0">
      <alignment vertical="center" indent="1" wrapText="1"/>
    </xf>
    <xf numFmtId="49" fontId="35" fillId="2" borderId="40" applyNumberFormat="1" applyFont="1" applyFill="1" applyBorder="1" applyAlignment="1" applyProtection="0">
      <alignment vertical="center" wrapText="1"/>
    </xf>
    <xf numFmtId="0" fontId="35" fillId="2" borderId="32" applyNumberFormat="1" applyFont="1" applyFill="1" applyBorder="1" applyAlignment="1" applyProtection="0">
      <alignment horizontal="center" vertical="center" wrapText="1"/>
    </xf>
    <xf numFmtId="59" fontId="35" fillId="2" borderId="32" applyNumberFormat="1" applyFont="1" applyFill="1" applyBorder="1" applyAlignment="1" applyProtection="0">
      <alignment vertical="center" wrapText="1"/>
    </xf>
    <xf numFmtId="60" fontId="35" fillId="2" borderId="32" applyNumberFormat="1" applyFont="1" applyFill="1" applyBorder="1" applyAlignment="1" applyProtection="0">
      <alignment vertical="center" wrapText="1"/>
    </xf>
    <xf numFmtId="59" fontId="36" fillId="2" borderId="41" applyNumberFormat="1" applyFont="1" applyFill="1" applyBorder="1" applyAlignment="1" applyProtection="0">
      <alignment vertical="center" wrapText="1"/>
    </xf>
    <xf numFmtId="59" fontId="36" fillId="2" borderId="42" applyNumberFormat="1" applyFont="1" applyFill="1" applyBorder="1" applyAlignment="1" applyProtection="0">
      <alignment vertical="center" wrapText="1"/>
    </xf>
    <xf numFmtId="0" fontId="37" fillId="4" borderId="43" applyNumberFormat="0" applyFont="1" applyFill="1" applyBorder="1" applyAlignment="1" applyProtection="0">
      <alignment vertical="top" wrapText="1"/>
    </xf>
    <xf numFmtId="0" fontId="37" fillId="4" borderId="43" applyNumberFormat="1" applyFont="1" applyFill="1" applyBorder="1" applyAlignment="1" applyProtection="0">
      <alignment horizontal="center" vertical="top" wrapText="1"/>
    </xf>
    <xf numFmtId="59" fontId="37" fillId="4" borderId="43" applyNumberFormat="1" applyFont="1" applyFill="1" applyBorder="1" applyAlignment="1" applyProtection="0">
      <alignment vertical="top" wrapText="1"/>
    </xf>
    <xf numFmtId="49" fontId="38" fillId="10" borderId="44" applyNumberFormat="1" applyFont="1" applyFill="1" applyBorder="1" applyAlignment="1" applyProtection="0">
      <alignment horizontal="left" vertical="center"/>
    </xf>
    <xf numFmtId="0" fontId="39" fillId="10" borderId="45" applyNumberFormat="1" applyFont="1" applyFill="1" applyBorder="1" applyAlignment="1" applyProtection="0">
      <alignment horizontal="center" vertical="center" wrapText="1"/>
    </xf>
    <xf numFmtId="59" fontId="39" fillId="10" borderId="45" applyNumberFormat="1" applyFont="1" applyFill="1" applyBorder="1" applyAlignment="1" applyProtection="0">
      <alignment horizontal="left" vertical="center" wrapText="1"/>
    </xf>
    <xf numFmtId="49" fontId="39" fillId="10" borderId="45" applyNumberFormat="1" applyFont="1" applyFill="1" applyBorder="1" applyAlignment="1" applyProtection="0">
      <alignment horizontal="left" vertical="center" wrapText="1"/>
    </xf>
    <xf numFmtId="59" fontId="40" fillId="10" borderId="46" applyNumberFormat="1" applyFont="1" applyFill="1" applyBorder="1" applyAlignment="1" applyProtection="0">
      <alignment horizontal="center" vertical="center"/>
    </xf>
    <xf numFmtId="59" fontId="40" fillId="10" borderId="47" applyNumberFormat="1" applyFont="1" applyFill="1" applyBorder="1" applyAlignment="1" applyProtection="0">
      <alignment horizontal="center" vertical="center"/>
    </xf>
    <xf numFmtId="49" fontId="41" fillId="2" borderId="48" applyNumberFormat="1" applyFont="1" applyFill="1" applyBorder="1" applyAlignment="1" applyProtection="0">
      <alignment vertical="center" wrapText="1"/>
    </xf>
    <xf numFmtId="59" fontId="42" fillId="2" borderId="49" applyNumberFormat="1" applyFont="1" applyFill="1" applyBorder="1" applyAlignment="1" applyProtection="0">
      <alignment vertical="center" wrapText="1"/>
    </xf>
    <xf numFmtId="59" fontId="42" fillId="2" borderId="50" applyNumberFormat="1" applyFont="1" applyFill="1" applyBorder="1" applyAlignment="1" applyProtection="0">
      <alignment vertical="center" wrapText="1"/>
    </xf>
    <xf numFmtId="49" fontId="35" fillId="2" borderId="48" applyNumberFormat="1" applyFont="1" applyFill="1" applyBorder="1" applyAlignment="1" applyProtection="0">
      <alignment vertical="center" wrapText="1"/>
    </xf>
    <xf numFmtId="49" fontId="35" fillId="2" borderId="51" applyNumberFormat="1" applyFont="1" applyFill="1" applyBorder="1" applyAlignment="1" applyProtection="0">
      <alignment vertical="center" wrapText="1"/>
    </xf>
    <xf numFmtId="0" fontId="35" fillId="2" borderId="52" applyNumberFormat="1" applyFont="1" applyFill="1" applyBorder="1" applyAlignment="1" applyProtection="0">
      <alignment horizontal="center" vertical="center" wrapText="1"/>
    </xf>
    <xf numFmtId="59" fontId="35" fillId="2" borderId="52" applyNumberFormat="1" applyFont="1" applyFill="1" applyBorder="1" applyAlignment="1" applyProtection="0">
      <alignment vertical="center" wrapText="1"/>
    </xf>
    <xf numFmtId="60" fontId="35" fillId="2" borderId="52" applyNumberFormat="1" applyFont="1" applyFill="1" applyBorder="1" applyAlignment="1" applyProtection="0">
      <alignment vertical="center" wrapText="1"/>
    </xf>
    <xf numFmtId="59" fontId="42" fillId="2" borderId="53" applyNumberFormat="1" applyFont="1" applyFill="1" applyBorder="1" applyAlignment="1" applyProtection="0">
      <alignment vertical="center" wrapText="1"/>
    </xf>
    <xf numFmtId="59" fontId="42" fillId="2" borderId="54" applyNumberFormat="1" applyFont="1" applyFill="1" applyBorder="1" applyAlignment="1" applyProtection="0">
      <alignment vertical="center" wrapText="1"/>
    </xf>
    <xf numFmtId="0" fontId="37" fillId="4" borderId="55" applyNumberFormat="0" applyFont="1" applyFill="1" applyBorder="1" applyAlignment="1" applyProtection="0">
      <alignment vertical="top" wrapText="1"/>
    </xf>
    <xf numFmtId="0" fontId="37" fillId="4" borderId="55" applyNumberFormat="1" applyFont="1" applyFill="1" applyBorder="1" applyAlignment="1" applyProtection="0">
      <alignment horizontal="center" vertical="top" wrapText="1"/>
    </xf>
    <xf numFmtId="49" fontId="43" fillId="8" borderId="56" applyNumberFormat="1" applyFont="1" applyFill="1" applyBorder="1" applyAlignment="1" applyProtection="0">
      <alignment horizontal="left" vertical="center"/>
    </xf>
    <xf numFmtId="0" fontId="39" fillId="8" borderId="57" applyNumberFormat="1" applyFont="1" applyFill="1" applyBorder="1" applyAlignment="1" applyProtection="0">
      <alignment horizontal="center" vertical="center" wrapText="1"/>
    </xf>
    <xf numFmtId="59" fontId="39" fillId="8" borderId="57" applyNumberFormat="1" applyFont="1" applyFill="1" applyBorder="1" applyAlignment="1" applyProtection="0">
      <alignment horizontal="left" vertical="center" wrapText="1"/>
    </xf>
    <xf numFmtId="49" fontId="39" fillId="8" borderId="57" applyNumberFormat="1" applyFont="1" applyFill="1" applyBorder="1" applyAlignment="1" applyProtection="0">
      <alignment horizontal="left" vertical="center" wrapText="1"/>
    </xf>
    <xf numFmtId="59" fontId="40" fillId="8" borderId="58" applyNumberFormat="1" applyFont="1" applyFill="1" applyBorder="1" applyAlignment="1" applyProtection="0">
      <alignment horizontal="center" vertical="center"/>
    </xf>
    <xf numFmtId="59" fontId="40" fillId="8" borderId="59" applyNumberFormat="1" applyFont="1" applyFill="1" applyBorder="1" applyAlignment="1" applyProtection="0">
      <alignment horizontal="center" vertical="center"/>
    </xf>
    <xf numFmtId="49" fontId="44" fillId="2" borderId="60" applyNumberFormat="1" applyFont="1" applyFill="1" applyBorder="1" applyAlignment="1" applyProtection="0">
      <alignment vertical="center" wrapText="1"/>
    </xf>
    <xf numFmtId="0" fontId="35" fillId="11" borderId="25" applyNumberFormat="1" applyFont="1" applyFill="1" applyBorder="1" applyAlignment="1" applyProtection="0">
      <alignment horizontal="center" vertical="center" wrapText="1"/>
    </xf>
    <xf numFmtId="59" fontId="35" fillId="11" borderId="25" applyNumberFormat="1" applyFont="1" applyFill="1" applyBorder="1" applyAlignment="1" applyProtection="0">
      <alignment vertical="center" wrapText="1"/>
    </xf>
    <xf numFmtId="60" fontId="35" fillId="11" borderId="25" applyNumberFormat="1" applyFont="1" applyFill="1" applyBorder="1" applyAlignment="1" applyProtection="0">
      <alignment vertical="center" wrapText="1"/>
    </xf>
    <xf numFmtId="59" fontId="42" fillId="11" borderId="61" applyNumberFormat="1" applyFont="1" applyFill="1" applyBorder="1" applyAlignment="1" applyProtection="0">
      <alignment vertical="center" wrapText="1"/>
    </xf>
    <xf numFmtId="59" fontId="42" fillId="2" borderId="62" applyNumberFormat="1" applyFont="1" applyFill="1" applyBorder="1" applyAlignment="1" applyProtection="0">
      <alignment vertical="center" wrapText="1"/>
    </xf>
    <xf numFmtId="49" fontId="35" fillId="2" borderId="63" applyNumberFormat="1" applyFont="1" applyFill="1" applyBorder="1" applyAlignment="1" applyProtection="0">
      <alignment vertical="center" wrapText="1"/>
    </xf>
    <xf numFmtId="59" fontId="42" fillId="2" borderId="64" applyNumberFormat="1" applyFont="1" applyFill="1" applyBorder="1" applyAlignment="1" applyProtection="0">
      <alignment vertical="center" wrapText="1"/>
    </xf>
    <xf numFmtId="59" fontId="42" fillId="2" borderId="65" applyNumberFormat="1" applyFont="1" applyFill="1" applyBorder="1" applyAlignment="1" applyProtection="0">
      <alignment vertical="center" wrapText="1"/>
    </xf>
    <xf numFmtId="49" fontId="35" fillId="2" borderId="66" applyNumberFormat="1" applyFont="1" applyFill="1" applyBorder="1" applyAlignment="1" applyProtection="0">
      <alignment vertical="center" wrapText="1"/>
    </xf>
    <xf numFmtId="0" fontId="35" fillId="2" borderId="30" applyNumberFormat="1" applyFont="1" applyFill="1" applyBorder="1" applyAlignment="1" applyProtection="0">
      <alignment horizontal="center" vertical="center" wrapText="1"/>
    </xf>
    <xf numFmtId="59" fontId="35" fillId="2" borderId="30" applyNumberFormat="1" applyFont="1" applyFill="1" applyBorder="1" applyAlignment="1" applyProtection="0">
      <alignment vertical="center" wrapText="1"/>
    </xf>
    <xf numFmtId="60" fontId="35" fillId="2" borderId="30" applyNumberFormat="1" applyFont="1" applyFill="1" applyBorder="1" applyAlignment="1" applyProtection="0">
      <alignment vertical="center" wrapText="1"/>
    </xf>
    <xf numFmtId="59" fontId="42" fillId="2" borderId="67" applyNumberFormat="1" applyFont="1" applyFill="1" applyBorder="1" applyAlignment="1" applyProtection="0">
      <alignment vertical="center" wrapText="1"/>
    </xf>
    <xf numFmtId="59" fontId="42" fillId="2" borderId="68" applyNumberFormat="1" applyFont="1" applyFill="1" applyBorder="1" applyAlignment="1" applyProtection="0">
      <alignment vertical="center" wrapText="1"/>
    </xf>
    <xf numFmtId="49" fontId="35" fillId="2" borderId="69" applyNumberFormat="1" applyFont="1" applyFill="1" applyBorder="1" applyAlignment="1" applyProtection="0">
      <alignment vertical="center" wrapText="1"/>
    </xf>
    <xf numFmtId="0" fontId="35" fillId="2" borderId="70" applyNumberFormat="1" applyFont="1" applyFill="1" applyBorder="1" applyAlignment="1" applyProtection="0">
      <alignment horizontal="center" vertical="center" wrapText="1"/>
    </xf>
    <xf numFmtId="59" fontId="35" fillId="2" borderId="70" applyNumberFormat="1" applyFont="1" applyFill="1" applyBorder="1" applyAlignment="1" applyProtection="0">
      <alignment vertical="center" wrapText="1"/>
    </xf>
    <xf numFmtId="60" fontId="35" fillId="2" borderId="70" applyNumberFormat="1" applyFont="1" applyFill="1" applyBorder="1" applyAlignment="1" applyProtection="0">
      <alignment vertical="center" wrapText="1"/>
    </xf>
    <xf numFmtId="59" fontId="42" fillId="2" borderId="71" applyNumberFormat="1" applyFont="1" applyFill="1" applyBorder="1" applyAlignment="1" applyProtection="0">
      <alignment vertical="center" wrapText="1"/>
    </xf>
    <xf numFmtId="59" fontId="42" fillId="2" borderId="72" applyNumberFormat="1" applyFont="1" applyFill="1" applyBorder="1" applyAlignment="1" applyProtection="0">
      <alignment vertical="center" wrapText="1"/>
    </xf>
    <xf numFmtId="49" fontId="35" fillId="4" borderId="73" applyNumberFormat="1" applyFont="1" applyFill="1" applyBorder="1" applyAlignment="1" applyProtection="0">
      <alignment vertical="center" wrapText="1"/>
    </xf>
    <xf numFmtId="0" fontId="35" fillId="4" borderId="73" applyNumberFormat="1" applyFont="1" applyFill="1" applyBorder="1" applyAlignment="1" applyProtection="0">
      <alignment horizontal="center" vertical="center" wrapText="1"/>
    </xf>
    <xf numFmtId="59" fontId="35" fillId="4" borderId="73" applyNumberFormat="1" applyFont="1" applyFill="1" applyBorder="1" applyAlignment="1" applyProtection="0">
      <alignment vertical="center" wrapText="1"/>
    </xf>
    <xf numFmtId="60" fontId="35" fillId="4" borderId="73" applyNumberFormat="1" applyFont="1" applyFill="1" applyBorder="1" applyAlignment="1" applyProtection="0">
      <alignment vertical="center" wrapText="1"/>
    </xf>
    <xf numFmtId="59" fontId="45" fillId="4" borderId="73" applyNumberFormat="1" applyFont="1" applyFill="1" applyBorder="1" applyAlignment="1" applyProtection="0">
      <alignment vertical="center" wrapText="1"/>
    </xf>
    <xf numFmtId="49" fontId="46" fillId="12" borderId="74" applyNumberFormat="1" applyFont="1" applyFill="1" applyBorder="1" applyAlignment="1" applyProtection="0">
      <alignment horizontal="left" vertical="center"/>
    </xf>
    <xf numFmtId="0" fontId="47" fillId="12" borderId="75" applyNumberFormat="1" applyFont="1" applyFill="1" applyBorder="1" applyAlignment="1" applyProtection="0">
      <alignment horizontal="center" vertical="center" wrapText="1"/>
    </xf>
    <xf numFmtId="59" fontId="47" fillId="12" borderId="75" applyNumberFormat="1" applyFont="1" applyFill="1" applyBorder="1" applyAlignment="1" applyProtection="0">
      <alignment horizontal="left" vertical="center" wrapText="1"/>
    </xf>
    <xf numFmtId="49" fontId="47" fillId="12" borderId="75" applyNumberFormat="1" applyFont="1" applyFill="1" applyBorder="1" applyAlignment="1" applyProtection="0">
      <alignment horizontal="left" vertical="center" wrapText="1"/>
    </xf>
    <xf numFmtId="59" fontId="48" fillId="12" borderId="76" applyNumberFormat="1" applyFont="1" applyFill="1" applyBorder="1" applyAlignment="1" applyProtection="0">
      <alignment horizontal="center" vertical="center"/>
    </xf>
    <xf numFmtId="59" fontId="48" fillId="12" borderId="77" applyNumberFormat="1" applyFont="1" applyFill="1" applyBorder="1" applyAlignment="1" applyProtection="0">
      <alignment horizontal="center" vertical="center"/>
    </xf>
    <xf numFmtId="49" fontId="49" fillId="13" borderId="78" applyNumberFormat="1" applyFont="1" applyFill="1" applyBorder="1" applyAlignment="1" applyProtection="0">
      <alignment horizontal="left" vertical="center"/>
    </xf>
    <xf numFmtId="0" fontId="50" fillId="13" borderId="79" applyNumberFormat="1" applyFont="1" applyFill="1" applyBorder="1" applyAlignment="1" applyProtection="0">
      <alignment horizontal="center" vertical="center" wrapText="1"/>
    </xf>
    <xf numFmtId="59" fontId="50" fillId="13" borderId="79" applyNumberFormat="1" applyFont="1" applyFill="1" applyBorder="1" applyAlignment="1" applyProtection="0">
      <alignment horizontal="left" vertical="center" wrapText="1"/>
    </xf>
    <xf numFmtId="49" fontId="50" fillId="13" borderId="79" applyNumberFormat="1" applyFont="1" applyFill="1" applyBorder="1" applyAlignment="1" applyProtection="0">
      <alignment horizontal="left" vertical="center" wrapText="1"/>
    </xf>
    <xf numFmtId="59" fontId="51" fillId="13" borderId="80" applyNumberFormat="1" applyFont="1" applyFill="1" applyBorder="1" applyAlignment="1" applyProtection="0">
      <alignment horizontal="center" vertical="center"/>
    </xf>
    <xf numFmtId="59" fontId="51" fillId="13" borderId="81" applyNumberFormat="1" applyFont="1" applyFill="1" applyBorder="1" applyAlignment="1" applyProtection="0">
      <alignment horizontal="center" vertical="center"/>
    </xf>
    <xf numFmtId="49" fontId="52" fillId="14" borderId="82" applyNumberFormat="1" applyFont="1" applyFill="1" applyBorder="1" applyAlignment="1" applyProtection="0">
      <alignment horizontal="left" vertical="center"/>
    </xf>
    <xf numFmtId="0" fontId="53" fillId="14" borderId="83" applyNumberFormat="1" applyFont="1" applyFill="1" applyBorder="1" applyAlignment="1" applyProtection="0">
      <alignment horizontal="center" vertical="center" wrapText="1"/>
    </xf>
    <xf numFmtId="59" fontId="53" fillId="14" borderId="83" applyNumberFormat="1" applyFont="1" applyFill="1" applyBorder="1" applyAlignment="1" applyProtection="0">
      <alignment horizontal="left" vertical="center" wrapText="1"/>
    </xf>
    <xf numFmtId="49" fontId="53" fillId="14" borderId="83" applyNumberFormat="1" applyFont="1" applyFill="1" applyBorder="1" applyAlignment="1" applyProtection="0">
      <alignment horizontal="left" vertical="center" wrapText="1"/>
    </xf>
    <xf numFmtId="59" fontId="54" fillId="14" borderId="84" applyNumberFormat="1" applyFont="1" applyFill="1" applyBorder="1" applyAlignment="1" applyProtection="0">
      <alignment horizontal="center" vertical="center"/>
    </xf>
    <xf numFmtId="59" fontId="54" fillId="14" borderId="85" applyNumberFormat="1" applyFont="1" applyFill="1" applyBorder="1" applyAlignment="1" applyProtection="0">
      <alignment horizontal="center" vertical="center"/>
    </xf>
    <xf numFmtId="49" fontId="35" fillId="2" borderId="86" applyNumberFormat="1" applyFont="1" applyFill="1" applyBorder="1" applyAlignment="1" applyProtection="0">
      <alignment vertical="center" wrapText="1"/>
    </xf>
    <xf numFmtId="59" fontId="42" fillId="2" borderId="87" applyNumberFormat="1" applyFont="1" applyFill="1" applyBorder="1" applyAlignment="1" applyProtection="0">
      <alignment vertical="center" wrapText="1"/>
    </xf>
    <xf numFmtId="59" fontId="42" fillId="2" borderId="88" applyNumberFormat="1" applyFont="1" applyFill="1" applyBorder="1" applyAlignment="1" applyProtection="0">
      <alignment vertical="center" wrapText="1"/>
    </xf>
    <xf numFmtId="49" fontId="35" fillId="2" borderId="89" applyNumberFormat="1" applyFont="1" applyFill="1" applyBorder="1" applyAlignment="1" applyProtection="0">
      <alignment vertical="center" wrapText="1"/>
    </xf>
    <xf numFmtId="0" fontId="35" fillId="2" borderId="90" applyNumberFormat="1" applyFont="1" applyFill="1" applyBorder="1" applyAlignment="1" applyProtection="0">
      <alignment horizontal="center" vertical="center" wrapText="1"/>
    </xf>
    <xf numFmtId="59" fontId="35" fillId="2" borderId="90" applyNumberFormat="1" applyFont="1" applyFill="1" applyBorder="1" applyAlignment="1" applyProtection="0">
      <alignment vertical="center" wrapText="1"/>
    </xf>
    <xf numFmtId="60" fontId="35" fillId="2" borderId="90" applyNumberFormat="1" applyFont="1" applyFill="1" applyBorder="1" applyAlignment="1" applyProtection="0">
      <alignment vertical="center" wrapText="1"/>
    </xf>
    <xf numFmtId="59" fontId="54" fillId="14" borderId="87" applyNumberFormat="1" applyFont="1" applyFill="1" applyBorder="1" applyAlignment="1" applyProtection="0">
      <alignment horizontal="center" vertical="center"/>
    </xf>
    <xf numFmtId="59" fontId="54" fillId="14" borderId="88" applyNumberFormat="1" applyFont="1" applyFill="1" applyBorder="1" applyAlignment="1" applyProtection="0">
      <alignment horizontal="center" vertical="center"/>
    </xf>
    <xf numFmtId="59" fontId="42" fillId="2" borderId="91" applyNumberFormat="1" applyFont="1" applyFill="1" applyBorder="1" applyAlignment="1" applyProtection="0">
      <alignment vertical="center" wrapText="1"/>
    </xf>
    <xf numFmtId="59" fontId="42" fillId="2" borderId="92" applyNumberFormat="1" applyFont="1" applyFill="1" applyBorder="1" applyAlignment="1" applyProtection="0">
      <alignment vertical="center" wrapText="1"/>
    </xf>
    <xf numFmtId="49" fontId="34" fillId="2" borderId="86" applyNumberFormat="1" applyFont="1" applyFill="1" applyBorder="1" applyAlignment="1" applyProtection="0">
      <alignment vertical="center" wrapText="1"/>
    </xf>
    <xf numFmtId="49" fontId="52" fillId="14" borderId="86" applyNumberFormat="1" applyFont="1" applyFill="1" applyBorder="1" applyAlignment="1" applyProtection="0">
      <alignment horizontal="left" vertical="center"/>
    </xf>
    <xf numFmtId="0" fontId="53" fillId="14" borderId="4" applyNumberFormat="1" applyFont="1" applyFill="1" applyBorder="1" applyAlignment="1" applyProtection="0">
      <alignment horizontal="center" vertical="center" wrapText="1"/>
    </xf>
    <xf numFmtId="59" fontId="53" fillId="14" borderId="4" applyNumberFormat="1" applyFont="1" applyFill="1" applyBorder="1" applyAlignment="1" applyProtection="0">
      <alignment horizontal="left" vertical="center" wrapText="1"/>
    </xf>
    <xf numFmtId="49" fontId="53" fillId="14" borderId="4" applyNumberFormat="1" applyFont="1" applyFill="1" applyBorder="1" applyAlignment="1" applyProtection="0">
      <alignment horizontal="left" vertical="center" wrapText="1"/>
    </xf>
    <xf numFmtId="49" fontId="52" fillId="14" borderId="93" applyNumberFormat="1" applyFont="1" applyFill="1" applyBorder="1" applyAlignment="1" applyProtection="0">
      <alignment horizontal="left" vertical="center"/>
    </xf>
    <xf numFmtId="0" fontId="53" fillId="14" borderId="94" applyNumberFormat="1" applyFont="1" applyFill="1" applyBorder="1" applyAlignment="1" applyProtection="0">
      <alignment horizontal="center" vertical="center" wrapText="1"/>
    </xf>
    <xf numFmtId="59" fontId="53" fillId="14" borderId="94" applyNumberFormat="1" applyFont="1" applyFill="1" applyBorder="1" applyAlignment="1" applyProtection="0">
      <alignment horizontal="left" vertical="center" wrapText="1"/>
    </xf>
    <xf numFmtId="60" fontId="53" fillId="14" borderId="94" applyNumberFormat="1" applyFont="1" applyFill="1" applyBorder="1" applyAlignment="1" applyProtection="0">
      <alignment horizontal="left" vertical="center" wrapText="1"/>
    </xf>
    <xf numFmtId="59" fontId="54" fillId="14" borderId="95" applyNumberFormat="1" applyFont="1" applyFill="1" applyBorder="1" applyAlignment="1" applyProtection="0">
      <alignment horizontal="center" vertical="center"/>
    </xf>
    <xf numFmtId="59" fontId="54" fillId="14" borderId="96" applyNumberFormat="1" applyFont="1" applyFill="1" applyBorder="1" applyAlignment="1" applyProtection="0">
      <alignment horizontal="center" vertical="center"/>
    </xf>
    <xf numFmtId="49" fontId="52" fillId="14" borderId="97" applyNumberFormat="1" applyFont="1" applyFill="1" applyBorder="1" applyAlignment="1" applyProtection="0">
      <alignment horizontal="left" vertical="center"/>
    </xf>
    <xf numFmtId="0" fontId="53" fillId="14" borderId="98" applyNumberFormat="1" applyFont="1" applyFill="1" applyBorder="1" applyAlignment="1" applyProtection="0">
      <alignment horizontal="center" vertical="center" wrapText="1"/>
    </xf>
    <xf numFmtId="59" fontId="53" fillId="14" borderId="98" applyNumberFormat="1" applyFont="1" applyFill="1" applyBorder="1" applyAlignment="1" applyProtection="0">
      <alignment horizontal="left" vertical="center" wrapText="1"/>
    </xf>
    <xf numFmtId="60" fontId="53" fillId="14" borderId="98" applyNumberFormat="1" applyFont="1" applyFill="1" applyBorder="1" applyAlignment="1" applyProtection="0">
      <alignment horizontal="left" vertical="center" wrapText="1"/>
    </xf>
    <xf numFmtId="59" fontId="54" fillId="14" borderId="99" applyNumberFormat="1" applyFont="1" applyFill="1" applyBorder="1" applyAlignment="1" applyProtection="0">
      <alignment horizontal="center" vertical="center"/>
    </xf>
    <xf numFmtId="59" fontId="54" fillId="14" borderId="100" applyNumberFormat="1" applyFont="1" applyFill="1" applyBorder="1" applyAlignment="1" applyProtection="0">
      <alignment horizontal="center" vertical="center"/>
    </xf>
    <xf numFmtId="49" fontId="52" fillId="14" borderId="89" applyNumberFormat="1" applyFont="1" applyFill="1" applyBorder="1" applyAlignment="1" applyProtection="0">
      <alignment horizontal="left" vertical="center"/>
    </xf>
    <xf numFmtId="0" fontId="53" fillId="14" borderId="90" applyNumberFormat="1" applyFont="1" applyFill="1" applyBorder="1" applyAlignment="1" applyProtection="0">
      <alignment horizontal="center" vertical="center" wrapText="1"/>
    </xf>
    <xf numFmtId="59" fontId="53" fillId="14" borderId="90" applyNumberFormat="1" applyFont="1" applyFill="1" applyBorder="1" applyAlignment="1" applyProtection="0">
      <alignment horizontal="left" vertical="center" wrapText="1"/>
    </xf>
    <xf numFmtId="60" fontId="53" fillId="14" borderId="90" applyNumberFormat="1" applyFont="1" applyFill="1" applyBorder="1" applyAlignment="1" applyProtection="0">
      <alignment horizontal="left" vertical="center" wrapText="1"/>
    </xf>
    <xf numFmtId="59" fontId="54" fillId="14" borderId="91" applyNumberFormat="1" applyFont="1" applyFill="1" applyBorder="1" applyAlignment="1" applyProtection="0">
      <alignment horizontal="center" vertical="center"/>
    </xf>
    <xf numFmtId="59" fontId="54" fillId="14" borderId="92" applyNumberFormat="1" applyFont="1" applyFill="1" applyBorder="1" applyAlignment="1" applyProtection="0">
      <alignment horizontal="center" vertical="center"/>
    </xf>
    <xf numFmtId="60" fontId="53" fillId="14" borderId="83" applyNumberFormat="1" applyFont="1" applyFill="1" applyBorder="1" applyAlignment="1" applyProtection="0">
      <alignment horizontal="left" vertical="center" wrapText="1"/>
    </xf>
    <xf numFmtId="49" fontId="35" fillId="2" borderId="93" applyNumberFormat="1" applyFont="1" applyFill="1" applyBorder="1" applyAlignment="1" applyProtection="0">
      <alignment vertical="center" wrapText="1"/>
    </xf>
    <xf numFmtId="0" fontId="35" fillId="2" borderId="94" applyNumberFormat="1" applyFont="1" applyFill="1" applyBorder="1" applyAlignment="1" applyProtection="0">
      <alignment horizontal="center" vertical="center" wrapText="1"/>
    </xf>
    <xf numFmtId="59" fontId="35" fillId="2" borderId="94" applyNumberFormat="1" applyFont="1" applyFill="1" applyBorder="1" applyAlignment="1" applyProtection="0">
      <alignment vertical="center" wrapText="1"/>
    </xf>
    <xf numFmtId="60" fontId="35" fillId="2" borderId="94" applyNumberFormat="1" applyFont="1" applyFill="1" applyBorder="1" applyAlignment="1" applyProtection="0">
      <alignment vertical="center" wrapText="1"/>
    </xf>
    <xf numFmtId="59" fontId="42" fillId="2" borderId="95" applyNumberFormat="1" applyFont="1" applyFill="1" applyBorder="1" applyAlignment="1" applyProtection="0">
      <alignment vertical="center" wrapText="1"/>
    </xf>
    <xf numFmtId="59" fontId="42" fillId="2" borderId="96" applyNumberFormat="1" applyFont="1" applyFill="1" applyBorder="1" applyAlignment="1" applyProtection="0">
      <alignment vertical="center" wrapText="1"/>
    </xf>
    <xf numFmtId="49" fontId="35" fillId="4" borderId="101" applyNumberFormat="1" applyFont="1" applyFill="1" applyBorder="1" applyAlignment="1" applyProtection="0">
      <alignment vertical="center" wrapText="1"/>
    </xf>
    <xf numFmtId="0" fontId="35" fillId="4" borderId="101" applyNumberFormat="1" applyFont="1" applyFill="1" applyBorder="1" applyAlignment="1" applyProtection="0">
      <alignment horizontal="center" vertical="center" wrapText="1"/>
    </xf>
    <xf numFmtId="59" fontId="35" fillId="4" borderId="101" applyNumberFormat="1" applyFont="1" applyFill="1" applyBorder="1" applyAlignment="1" applyProtection="0">
      <alignment vertical="center" wrapText="1"/>
    </xf>
    <xf numFmtId="60" fontId="35" fillId="4" borderId="101" applyNumberFormat="1" applyFont="1" applyFill="1" applyBorder="1" applyAlignment="1" applyProtection="0">
      <alignment vertical="center" wrapText="1"/>
    </xf>
    <xf numFmtId="59" fontId="45" fillId="4" borderId="101" applyNumberFormat="1" applyFont="1" applyFill="1" applyBorder="1" applyAlignment="1" applyProtection="0">
      <alignment vertical="center" wrapText="1"/>
    </xf>
    <xf numFmtId="49" fontId="35" fillId="4" borderId="32" applyNumberFormat="1" applyFont="1" applyFill="1" applyBorder="1" applyAlignment="1" applyProtection="0">
      <alignment vertical="center" wrapText="1"/>
    </xf>
    <xf numFmtId="0" fontId="35" fillId="4" borderId="32" applyNumberFormat="1" applyFont="1" applyFill="1" applyBorder="1" applyAlignment="1" applyProtection="0">
      <alignment horizontal="center" vertical="center" wrapText="1"/>
    </xf>
    <xf numFmtId="59" fontId="35" fillId="4" borderId="32" applyNumberFormat="1" applyFont="1" applyFill="1" applyBorder="1" applyAlignment="1" applyProtection="0">
      <alignment vertical="center" wrapText="1"/>
    </xf>
    <xf numFmtId="60" fontId="35" fillId="4" borderId="32" applyNumberFormat="1" applyFont="1" applyFill="1" applyBorder="1" applyAlignment="1" applyProtection="0">
      <alignment vertical="center" wrapText="1"/>
    </xf>
    <xf numFmtId="59" fontId="45" fillId="4" borderId="32" applyNumberFormat="1" applyFont="1" applyFill="1" applyBorder="1" applyAlignment="1" applyProtection="0">
      <alignment vertical="center" wrapText="1"/>
    </xf>
    <xf numFmtId="49" fontId="31" fillId="7" borderId="102" applyNumberFormat="1" applyFont="1" applyFill="1" applyBorder="1" applyAlignment="1" applyProtection="0">
      <alignment horizontal="left" vertical="center"/>
    </xf>
    <xf numFmtId="49" fontId="32" fillId="7" borderId="43" applyNumberFormat="1" applyFont="1" applyFill="1" applyBorder="1" applyAlignment="1" applyProtection="0">
      <alignment horizontal="left" vertical="center" wrapText="1"/>
    </xf>
    <xf numFmtId="59" fontId="33" fillId="7" borderId="43" applyNumberFormat="1" applyFont="1" applyFill="1" applyBorder="1" applyAlignment="1" applyProtection="0">
      <alignment horizontal="center" vertical="center" wrapText="1"/>
    </xf>
    <xf numFmtId="59" fontId="33" fillId="7" borderId="103" applyNumberFormat="1" applyFont="1" applyFill="1" applyBorder="1" applyAlignment="1" applyProtection="0">
      <alignment horizontal="center" vertical="center" wrapText="1"/>
    </xf>
    <xf numFmtId="49" fontId="38" fillId="10" borderId="104" applyNumberFormat="1" applyFont="1" applyFill="1" applyBorder="1" applyAlignment="1" applyProtection="0">
      <alignment horizontal="left" vertical="center"/>
    </xf>
    <xf numFmtId="0" fontId="39" fillId="10" borderId="55" applyNumberFormat="1" applyFont="1" applyFill="1" applyBorder="1" applyAlignment="1" applyProtection="0">
      <alignment horizontal="center" vertical="center" wrapText="1"/>
    </xf>
    <xf numFmtId="59" fontId="39" fillId="10" borderId="55" applyNumberFormat="1" applyFont="1" applyFill="1" applyBorder="1" applyAlignment="1" applyProtection="0">
      <alignment horizontal="left" vertical="center" wrapText="1"/>
    </xf>
    <xf numFmtId="49" fontId="39" fillId="10" borderId="55" applyNumberFormat="1" applyFont="1" applyFill="1" applyBorder="1" applyAlignment="1" applyProtection="0">
      <alignment horizontal="left" vertical="center" wrapText="1"/>
    </xf>
    <xf numFmtId="59" fontId="40" fillId="10" borderId="105" applyNumberFormat="1" applyFont="1" applyFill="1" applyBorder="1" applyAlignment="1" applyProtection="0">
      <alignment horizontal="center" vertical="center"/>
    </xf>
    <xf numFmtId="59" fontId="40" fillId="10" borderId="106" applyNumberFormat="1" applyFont="1" applyFill="1" applyBorder="1" applyAlignment="1" applyProtection="0">
      <alignment horizontal="center" vertical="center"/>
    </xf>
    <xf numFmtId="49" fontId="43" fillId="8" borderId="107" applyNumberFormat="1" applyFont="1" applyFill="1" applyBorder="1" applyAlignment="1" applyProtection="0">
      <alignment horizontal="left" vertical="center"/>
    </xf>
    <xf numFmtId="59" fontId="40" fillId="8" borderId="73" applyNumberFormat="1" applyFont="1" applyFill="1" applyBorder="1" applyAlignment="1" applyProtection="0">
      <alignment horizontal="center" vertical="center"/>
    </xf>
    <xf numFmtId="0" fontId="40" fillId="8" borderId="108" applyNumberFormat="0" applyFont="1" applyFill="1" applyBorder="1" applyAlignment="1" applyProtection="0">
      <alignment horizontal="center" vertical="center"/>
    </xf>
    <xf numFmtId="49" fontId="40" fillId="8" borderId="109" applyNumberFormat="1" applyFont="1" applyFill="1" applyBorder="1" applyAlignment="1" applyProtection="0">
      <alignment horizontal="center" vertical="center"/>
    </xf>
    <xf numFmtId="49" fontId="40" fillId="8" borderId="73" applyNumberFormat="1" applyFont="1" applyFill="1" applyBorder="1" applyAlignment="1" applyProtection="0">
      <alignment horizontal="left" vertical="center"/>
    </xf>
    <xf numFmtId="59" fontId="40" fillId="8" borderId="110" applyNumberFormat="1" applyFont="1" applyFill="1" applyBorder="1" applyAlignment="1" applyProtection="0">
      <alignment horizontal="left" vertical="center"/>
    </xf>
    <xf numFmtId="59" fontId="40" fillId="8" borderId="111" applyNumberFormat="1" applyFont="1" applyFill="1" applyBorder="1" applyAlignment="1" applyProtection="0">
      <alignment horizontal="left" vertical="center"/>
    </xf>
    <xf numFmtId="49" fontId="46" fillId="13" borderId="78" applyNumberFormat="1" applyFont="1" applyFill="1" applyBorder="1" applyAlignment="1" applyProtection="0">
      <alignment horizontal="left" vertical="center"/>
    </xf>
    <xf numFmtId="0" fontId="47" fillId="13" borderId="79" applyNumberFormat="1" applyFont="1" applyFill="1" applyBorder="1" applyAlignment="1" applyProtection="0">
      <alignment horizontal="center" vertical="center" wrapText="1"/>
    </xf>
    <xf numFmtId="59" fontId="47" fillId="13" borderId="79" applyNumberFormat="1" applyFont="1" applyFill="1" applyBorder="1" applyAlignment="1" applyProtection="0">
      <alignment horizontal="left" vertical="center" wrapText="1"/>
    </xf>
    <xf numFmtId="49" fontId="47" fillId="13" borderId="79" applyNumberFormat="1" applyFont="1" applyFill="1" applyBorder="1" applyAlignment="1" applyProtection="0">
      <alignment horizontal="left" vertical="center" wrapText="1"/>
    </xf>
    <xf numFmtId="59" fontId="48" fillId="13" borderId="80" applyNumberFormat="1" applyFont="1" applyFill="1" applyBorder="1" applyAlignment="1" applyProtection="0">
      <alignment horizontal="center" vertical="center"/>
    </xf>
    <xf numFmtId="59" fontId="48" fillId="13" borderId="81" applyNumberFormat="1" applyFont="1" applyFill="1" applyBorder="1" applyAlignment="1" applyProtection="0">
      <alignment horizontal="center" vertical="center"/>
    </xf>
    <xf numFmtId="49" fontId="46" fillId="6" borderId="112" applyNumberFormat="1" applyFont="1" applyFill="1" applyBorder="1" applyAlignment="1" applyProtection="0">
      <alignment horizontal="left" vertical="center"/>
    </xf>
    <xf numFmtId="0" fontId="47" fillId="6" borderId="113" applyNumberFormat="1" applyFont="1" applyFill="1" applyBorder="1" applyAlignment="1" applyProtection="0">
      <alignment horizontal="center" vertical="center" wrapText="1"/>
    </xf>
    <xf numFmtId="59" fontId="47" fillId="6" borderId="113" applyNumberFormat="1" applyFont="1" applyFill="1" applyBorder="1" applyAlignment="1" applyProtection="0">
      <alignment horizontal="left" vertical="center" wrapText="1"/>
    </xf>
    <xf numFmtId="49" fontId="47" fillId="6" borderId="113" applyNumberFormat="1" applyFont="1" applyFill="1" applyBorder="1" applyAlignment="1" applyProtection="0">
      <alignment horizontal="left" vertical="center" wrapText="1"/>
    </xf>
    <xf numFmtId="59" fontId="48" fillId="6" borderId="114" applyNumberFormat="1" applyFont="1" applyFill="1" applyBorder="1" applyAlignment="1" applyProtection="0">
      <alignment horizontal="center" vertical="center"/>
    </xf>
    <xf numFmtId="59" fontId="55" fillId="6" borderId="115" applyNumberFormat="1" applyFont="1" applyFill="1" applyBorder="1" applyAlignment="1" applyProtection="0">
      <alignment horizontal="center" vertical="center"/>
    </xf>
    <xf numFmtId="49" fontId="35" fillId="4" borderId="116" applyNumberFormat="1" applyFont="1" applyFill="1" applyBorder="1" applyAlignment="1" applyProtection="0">
      <alignment vertical="center" wrapText="1"/>
    </xf>
    <xf numFmtId="0" fontId="35" fillId="4" borderId="116" applyNumberFormat="1" applyFont="1" applyFill="1" applyBorder="1" applyAlignment="1" applyProtection="0">
      <alignment horizontal="center" vertical="center" wrapText="1"/>
    </xf>
    <xf numFmtId="59" fontId="35" fillId="4" borderId="116" applyNumberFormat="1" applyFont="1" applyFill="1" applyBorder="1" applyAlignment="1" applyProtection="0">
      <alignment vertical="center" wrapText="1"/>
    </xf>
    <xf numFmtId="60" fontId="35" fillId="4" borderId="116" applyNumberFormat="1" applyFont="1" applyFill="1" applyBorder="1" applyAlignment="1" applyProtection="0">
      <alignment vertical="center" wrapText="1"/>
    </xf>
    <xf numFmtId="59" fontId="45" fillId="4" borderId="116" applyNumberFormat="1" applyFont="1" applyFill="1" applyBorder="1" applyAlignment="1" applyProtection="0">
      <alignment vertical="center" wrapText="1"/>
    </xf>
    <xf numFmtId="49" fontId="56" fillId="15" borderId="117" applyNumberFormat="1" applyFont="1" applyFill="1" applyBorder="1" applyAlignment="1" applyProtection="0">
      <alignment horizontal="left" vertical="center"/>
    </xf>
    <xf numFmtId="0" fontId="57" fillId="15" borderId="118" applyNumberFormat="1" applyFont="1" applyFill="1" applyBorder="1" applyAlignment="1" applyProtection="0">
      <alignment horizontal="center" vertical="center" wrapText="1"/>
    </xf>
    <xf numFmtId="59" fontId="57" fillId="15" borderId="118" applyNumberFormat="1" applyFont="1" applyFill="1" applyBorder="1" applyAlignment="1" applyProtection="0">
      <alignment horizontal="left" vertical="center" wrapText="1"/>
    </xf>
    <xf numFmtId="49" fontId="57" fillId="15" borderId="118" applyNumberFormat="1" applyFont="1" applyFill="1" applyBorder="1" applyAlignment="1" applyProtection="0">
      <alignment horizontal="left" vertical="center" wrapText="1"/>
    </xf>
    <xf numFmtId="59" fontId="58" fillId="15" borderId="119" applyNumberFormat="1" applyFont="1" applyFill="1" applyBorder="1" applyAlignment="1" applyProtection="0">
      <alignment horizontal="center" vertical="center"/>
    </xf>
    <xf numFmtId="59" fontId="58" fillId="15" borderId="120" applyNumberFormat="1" applyFont="1" applyFill="1" applyBorder="1" applyAlignment="1" applyProtection="0">
      <alignment horizontal="center" vertical="center"/>
    </xf>
    <xf numFmtId="49" fontId="35" fillId="4" borderId="121" applyNumberFormat="1" applyFont="1" applyFill="1" applyBorder="1" applyAlignment="1" applyProtection="0">
      <alignment vertical="center" indent="1" wrapText="1"/>
    </xf>
    <xf numFmtId="0" fontId="35" fillId="4" borderId="122" applyNumberFormat="1" applyFont="1" applyFill="1" applyBorder="1" applyAlignment="1" applyProtection="0">
      <alignment horizontal="center" vertical="center" wrapText="1"/>
    </xf>
    <xf numFmtId="59" fontId="35" fillId="4" borderId="122" applyNumberFormat="1" applyFont="1" applyFill="1" applyBorder="1" applyAlignment="1" applyProtection="0">
      <alignment vertical="center" wrapText="1"/>
    </xf>
    <xf numFmtId="60" fontId="35" fillId="4" borderId="122" applyNumberFormat="1" applyFont="1" applyFill="1" applyBorder="1" applyAlignment="1" applyProtection="0">
      <alignment vertical="center" wrapText="1"/>
    </xf>
    <xf numFmtId="59" fontId="45" fillId="4" borderId="122" applyNumberFormat="1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59" fontId="59" fillId="7" borderId="35" applyNumberFormat="1" applyFont="1" applyFill="1" applyBorder="1" applyAlignment="1" applyProtection="0">
      <alignment horizontal="center" vertical="center" wrapText="1"/>
    </xf>
    <xf numFmtId="59" fontId="59" fillId="7" borderId="36" applyNumberFormat="1" applyFont="1" applyFill="1" applyBorder="1" applyAlignment="1" applyProtection="0">
      <alignment horizontal="center" vertical="center" wrapText="1"/>
    </xf>
    <xf numFmtId="49" fontId="35" fillId="2" borderId="37" applyNumberFormat="1" applyFont="1" applyFill="1" applyBorder="1" applyAlignment="1" applyProtection="0">
      <alignment vertical="center" wrapText="1"/>
    </xf>
    <xf numFmtId="49" fontId="35" fillId="2" borderId="40" applyNumberFormat="1" applyFont="1" applyFill="1" applyBorder="1" applyAlignment="1" applyProtection="0">
      <alignment vertical="center" indent="1" wrapText="1"/>
    </xf>
    <xf numFmtId="59" fontId="60" fillId="10" borderId="46" applyNumberFormat="1" applyFont="1" applyFill="1" applyBorder="1" applyAlignment="1" applyProtection="0">
      <alignment horizontal="center" vertical="center"/>
    </xf>
    <xf numFmtId="59" fontId="60" fillId="10" borderId="47" applyNumberFormat="1" applyFont="1" applyFill="1" applyBorder="1" applyAlignment="1" applyProtection="0">
      <alignment horizontal="center" vertical="center"/>
    </xf>
    <xf numFmtId="49" fontId="34" fillId="2" borderId="123" applyNumberFormat="1" applyFont="1" applyFill="1" applyBorder="1" applyAlignment="1" applyProtection="0">
      <alignment vertical="center" wrapText="1"/>
    </xf>
    <xf numFmtId="0" fontId="35" fillId="2" borderId="124" applyNumberFormat="1" applyFont="1" applyFill="1" applyBorder="1" applyAlignment="1" applyProtection="0">
      <alignment horizontal="center" vertical="center" wrapText="1"/>
    </xf>
    <xf numFmtId="59" fontId="35" fillId="2" borderId="124" applyNumberFormat="1" applyFont="1" applyFill="1" applyBorder="1" applyAlignment="1" applyProtection="0">
      <alignment vertical="center" wrapText="1"/>
    </xf>
    <xf numFmtId="60" fontId="35" fillId="2" borderId="124" applyNumberFormat="1" applyFont="1" applyFill="1" applyBorder="1" applyAlignment="1" applyProtection="0">
      <alignment vertical="center" wrapText="1"/>
    </xf>
    <xf numFmtId="59" fontId="42" fillId="2" borderId="124" applyNumberFormat="1" applyFont="1" applyFill="1" applyBorder="1" applyAlignment="1" applyProtection="0">
      <alignment vertical="center" wrapText="1"/>
    </xf>
    <xf numFmtId="59" fontId="42" fillId="2" borderId="125" applyNumberFormat="1" applyFont="1" applyFill="1" applyBorder="1" applyAlignment="1" applyProtection="0">
      <alignment vertical="center" wrapText="1"/>
    </xf>
    <xf numFmtId="49" fontId="35" fillId="2" borderId="126" applyNumberFormat="1" applyFont="1" applyFill="1" applyBorder="1" applyAlignment="1" applyProtection="0">
      <alignment vertical="center" wrapText="1"/>
    </xf>
    <xf numFmtId="0" fontId="35" fillId="2" borderId="127" applyNumberFormat="1" applyFont="1" applyFill="1" applyBorder="1" applyAlignment="1" applyProtection="0">
      <alignment horizontal="center" vertical="center" wrapText="1"/>
    </xf>
    <xf numFmtId="59" fontId="35" fillId="2" borderId="127" applyNumberFormat="1" applyFont="1" applyFill="1" applyBorder="1" applyAlignment="1" applyProtection="0">
      <alignment vertical="center" wrapText="1"/>
    </xf>
    <xf numFmtId="60" fontId="35" fillId="2" borderId="127" applyNumberFormat="1" applyFont="1" applyFill="1" applyBorder="1" applyAlignment="1" applyProtection="0">
      <alignment vertical="center" wrapText="1"/>
    </xf>
    <xf numFmtId="59" fontId="42" fillId="2" borderId="128" applyNumberFormat="1" applyFont="1" applyFill="1" applyBorder="1" applyAlignment="1" applyProtection="0">
      <alignment vertical="center" wrapText="1"/>
    </xf>
    <xf numFmtId="59" fontId="42" fillId="2" borderId="129" applyNumberFormat="1" applyFont="1" applyFill="1" applyBorder="1" applyAlignment="1" applyProtection="0">
      <alignment vertical="center" wrapText="1"/>
    </xf>
    <xf numFmtId="59" fontId="60" fillId="8" borderId="58" applyNumberFormat="1" applyFont="1" applyFill="1" applyBorder="1" applyAlignment="1" applyProtection="0">
      <alignment horizontal="center" vertical="center"/>
    </xf>
    <xf numFmtId="59" fontId="60" fillId="8" borderId="59" applyNumberFormat="1" applyFont="1" applyFill="1" applyBorder="1" applyAlignment="1" applyProtection="0">
      <alignment horizontal="center" vertical="center"/>
    </xf>
    <xf numFmtId="0" fontId="35" fillId="2" borderId="25" applyNumberFormat="1" applyFont="1" applyFill="1" applyBorder="1" applyAlignment="1" applyProtection="0">
      <alignment horizontal="center" vertical="center" wrapText="1"/>
    </xf>
    <xf numFmtId="59" fontId="35" fillId="2" borderId="25" applyNumberFormat="1" applyFont="1" applyFill="1" applyBorder="1" applyAlignment="1" applyProtection="0">
      <alignment vertical="center" wrapText="1"/>
    </xf>
    <xf numFmtId="60" fontId="35" fillId="2" borderId="25" applyNumberFormat="1" applyFont="1" applyFill="1" applyBorder="1" applyAlignment="1" applyProtection="0">
      <alignment vertical="center" wrapText="1"/>
    </xf>
    <xf numFmtId="59" fontId="42" fillId="2" borderId="61" applyNumberFormat="1" applyFont="1" applyFill="1" applyBorder="1" applyAlignment="1" applyProtection="0">
      <alignment vertical="center" wrapText="1"/>
    </xf>
    <xf numFmtId="49" fontId="35" fillId="4" borderId="130" applyNumberFormat="1" applyFont="1" applyFill="1" applyBorder="1" applyAlignment="1" applyProtection="0">
      <alignment vertical="center" wrapText="1"/>
    </xf>
    <xf numFmtId="0" fontId="35" fillId="4" borderId="130" applyNumberFormat="1" applyFont="1" applyFill="1" applyBorder="1" applyAlignment="1" applyProtection="0">
      <alignment horizontal="center" vertical="center" wrapText="1"/>
    </xf>
    <xf numFmtId="59" fontId="35" fillId="4" borderId="130" applyNumberFormat="1" applyFont="1" applyFill="1" applyBorder="1" applyAlignment="1" applyProtection="0">
      <alignment vertical="center" wrapText="1"/>
    </xf>
    <xf numFmtId="60" fontId="35" fillId="4" borderId="130" applyNumberFormat="1" applyFont="1" applyFill="1" applyBorder="1" applyAlignment="1" applyProtection="0">
      <alignment vertical="center" wrapText="1"/>
    </xf>
    <xf numFmtId="59" fontId="45" fillId="4" borderId="130" applyNumberFormat="1" applyFont="1" applyFill="1" applyBorder="1" applyAlignment="1" applyProtection="0">
      <alignment vertical="center" wrapText="1"/>
    </xf>
    <xf numFmtId="49" fontId="35" fillId="4" borderId="4" applyNumberFormat="1" applyFont="1" applyFill="1" applyBorder="1" applyAlignment="1" applyProtection="0">
      <alignment vertical="center" wrapText="1"/>
    </xf>
    <xf numFmtId="0" fontId="35" fillId="4" borderId="4" applyNumberFormat="1" applyFont="1" applyFill="1" applyBorder="1" applyAlignment="1" applyProtection="0">
      <alignment horizontal="center" vertical="center" wrapText="1"/>
    </xf>
    <xf numFmtId="59" fontId="35" fillId="4" borderId="4" applyNumberFormat="1" applyFont="1" applyFill="1" applyBorder="1" applyAlignment="1" applyProtection="0">
      <alignment vertical="center" wrapText="1"/>
    </xf>
    <xf numFmtId="60" fontId="35" fillId="4" borderId="4" applyNumberFormat="1" applyFont="1" applyFill="1" applyBorder="1" applyAlignment="1" applyProtection="0">
      <alignment vertical="center" wrapText="1"/>
    </xf>
    <xf numFmtId="59" fontId="45" fillId="4" borderId="4" applyNumberFormat="1" applyFont="1" applyFill="1" applyBorder="1" applyAlignment="1" applyProtection="0">
      <alignment vertical="center" wrapText="1"/>
    </xf>
    <xf numFmtId="49" fontId="35" fillId="4" borderId="131" applyNumberFormat="1" applyFont="1" applyFill="1" applyBorder="1" applyAlignment="1" applyProtection="0">
      <alignment vertical="center" wrapText="1"/>
    </xf>
    <xf numFmtId="0" fontId="35" fillId="4" borderId="131" applyNumberFormat="1" applyFont="1" applyFill="1" applyBorder="1" applyAlignment="1" applyProtection="0">
      <alignment horizontal="center" vertical="center" wrapText="1"/>
    </xf>
    <xf numFmtId="59" fontId="35" fillId="4" borderId="131" applyNumberFormat="1" applyFont="1" applyFill="1" applyBorder="1" applyAlignment="1" applyProtection="0">
      <alignment vertical="center" wrapText="1"/>
    </xf>
    <xf numFmtId="60" fontId="35" fillId="4" borderId="131" applyNumberFormat="1" applyFont="1" applyFill="1" applyBorder="1" applyAlignment="1" applyProtection="0">
      <alignment vertical="center" wrapText="1"/>
    </xf>
    <xf numFmtId="59" fontId="45" fillId="4" borderId="131" applyNumberFormat="1" applyFont="1" applyFill="1" applyBorder="1" applyAlignment="1" applyProtection="0">
      <alignment vertical="center" wrapText="1"/>
    </xf>
    <xf numFmtId="49" fontId="61" fillId="16" borderId="132" applyNumberFormat="1" applyFont="1" applyFill="1" applyBorder="1" applyAlignment="1" applyProtection="0">
      <alignment horizontal="left" vertical="center"/>
    </xf>
    <xf numFmtId="0" fontId="62" fillId="16" borderId="133" applyNumberFormat="1" applyFont="1" applyFill="1" applyBorder="1" applyAlignment="1" applyProtection="0">
      <alignment horizontal="center" vertical="center" wrapText="1"/>
    </xf>
    <xf numFmtId="59" fontId="62" fillId="16" borderId="133" applyNumberFormat="1" applyFont="1" applyFill="1" applyBorder="1" applyAlignment="1" applyProtection="0">
      <alignment horizontal="left" vertical="center" wrapText="1"/>
    </xf>
    <xf numFmtId="49" fontId="62" fillId="16" borderId="133" applyNumberFormat="1" applyFont="1" applyFill="1" applyBorder="1" applyAlignment="1" applyProtection="0">
      <alignment horizontal="left" vertical="center" wrapText="1"/>
    </xf>
    <xf numFmtId="59" fontId="63" fillId="16" borderId="134" applyNumberFormat="1" applyFont="1" applyFill="1" applyBorder="1" applyAlignment="1" applyProtection="0">
      <alignment horizontal="center" vertical="center"/>
    </xf>
    <xf numFmtId="59" fontId="63" fillId="16" borderId="135" applyNumberFormat="1" applyFont="1" applyFill="1" applyBorder="1" applyAlignment="1" applyProtection="0">
      <alignment horizontal="center" vertical="center"/>
    </xf>
    <xf numFmtId="49" fontId="64" fillId="16" borderId="136" applyNumberFormat="1" applyFont="1" applyFill="1" applyBorder="1" applyAlignment="1" applyProtection="0">
      <alignment horizontal="left" vertical="center"/>
    </xf>
    <xf numFmtId="0" fontId="65" fillId="16" borderId="4" applyNumberFormat="1" applyFont="1" applyFill="1" applyBorder="1" applyAlignment="1" applyProtection="0">
      <alignment horizontal="center" vertical="center" wrapText="1"/>
    </xf>
    <xf numFmtId="59" fontId="65" fillId="16" borderId="4" applyNumberFormat="1" applyFont="1" applyFill="1" applyBorder="1" applyAlignment="1" applyProtection="0">
      <alignment horizontal="left" vertical="center" wrapText="1"/>
    </xf>
    <xf numFmtId="49" fontId="65" fillId="16" borderId="4" applyNumberFormat="1" applyFont="1" applyFill="1" applyBorder="1" applyAlignment="1" applyProtection="0">
      <alignment horizontal="left" vertical="center" wrapText="1"/>
    </xf>
    <xf numFmtId="59" fontId="63" fillId="16" borderId="137" applyNumberFormat="1" applyFont="1" applyFill="1" applyBorder="1" applyAlignment="1" applyProtection="0">
      <alignment horizontal="center" vertical="center"/>
    </xf>
    <xf numFmtId="59" fontId="63" fillId="16" borderId="138" applyNumberFormat="1" applyFont="1" applyFill="1" applyBorder="1" applyAlignment="1" applyProtection="0">
      <alignment horizontal="center" vertical="center"/>
    </xf>
    <xf numFmtId="49" fontId="35" fillId="2" borderId="136" applyNumberFormat="1" applyFont="1" applyFill="1" applyBorder="1" applyAlignment="1" applyProtection="0">
      <alignment vertical="center" wrapText="1"/>
    </xf>
    <xf numFmtId="59" fontId="66" fillId="2" borderId="137" applyNumberFormat="1" applyFont="1" applyFill="1" applyBorder="1" applyAlignment="1" applyProtection="0">
      <alignment vertical="center" wrapText="1"/>
    </xf>
    <xf numFmtId="59" fontId="66" fillId="2" borderId="138" applyNumberFormat="1" applyFont="1" applyFill="1" applyBorder="1" applyAlignment="1" applyProtection="0">
      <alignment vertical="center" wrapText="1"/>
    </xf>
    <xf numFmtId="49" fontId="35" fillId="2" borderId="139" applyNumberFormat="1" applyFont="1" applyFill="1" applyBorder="1" applyAlignment="1" applyProtection="0">
      <alignment vertical="center" wrapText="1"/>
    </xf>
    <xf numFmtId="59" fontId="66" fillId="2" borderId="140" applyNumberFormat="1" applyFont="1" applyFill="1" applyBorder="1" applyAlignment="1" applyProtection="0">
      <alignment vertical="center" wrapText="1"/>
    </xf>
    <xf numFmtId="59" fontId="66" fillId="2" borderId="141" applyNumberFormat="1" applyFont="1" applyFill="1" applyBorder="1" applyAlignment="1" applyProtection="0">
      <alignment vertical="center" wrapText="1"/>
    </xf>
    <xf numFmtId="49" fontId="64" fillId="16" borderId="142" applyNumberFormat="1" applyFont="1" applyFill="1" applyBorder="1" applyAlignment="1" applyProtection="0">
      <alignment horizontal="left" vertical="center"/>
    </xf>
    <xf numFmtId="0" fontId="65" fillId="16" borderId="83" applyNumberFormat="1" applyFont="1" applyFill="1" applyBorder="1" applyAlignment="1" applyProtection="0">
      <alignment horizontal="center" vertical="center" wrapText="1"/>
    </xf>
    <xf numFmtId="59" fontId="65" fillId="16" borderId="83" applyNumberFormat="1" applyFont="1" applyFill="1" applyBorder="1" applyAlignment="1" applyProtection="0">
      <alignment horizontal="left" vertical="center" wrapText="1"/>
    </xf>
    <xf numFmtId="49" fontId="65" fillId="16" borderId="83" applyNumberFormat="1" applyFont="1" applyFill="1" applyBorder="1" applyAlignment="1" applyProtection="0">
      <alignment horizontal="left" vertical="center" wrapText="1"/>
    </xf>
    <xf numFmtId="59" fontId="63" fillId="16" borderId="143" applyNumberFormat="1" applyFont="1" applyFill="1" applyBorder="1" applyAlignment="1" applyProtection="0">
      <alignment horizontal="center" vertical="center"/>
    </xf>
    <xf numFmtId="59" fontId="63" fillId="16" borderId="144" applyNumberFormat="1" applyFont="1" applyFill="1" applyBorder="1" applyAlignment="1" applyProtection="0">
      <alignment horizontal="center" vertical="center"/>
    </xf>
    <xf numFmtId="49" fontId="35" fillId="4" borderId="136" applyNumberFormat="1" applyFont="1" applyFill="1" applyBorder="1" applyAlignment="1" applyProtection="0">
      <alignment vertical="center" wrapText="1"/>
    </xf>
    <xf numFmtId="49" fontId="35" fillId="4" borderId="139" applyNumberFormat="1" applyFont="1" applyFill="1" applyBorder="1" applyAlignment="1" applyProtection="0">
      <alignment vertical="center" wrapText="1"/>
    </xf>
    <xf numFmtId="0" fontId="35" fillId="4" borderId="90" applyNumberFormat="1" applyFont="1" applyFill="1" applyBorder="1" applyAlignment="1" applyProtection="0">
      <alignment horizontal="center" vertical="center" wrapText="1"/>
    </xf>
    <xf numFmtId="59" fontId="35" fillId="4" borderId="90" applyNumberFormat="1" applyFont="1" applyFill="1" applyBorder="1" applyAlignment="1" applyProtection="0">
      <alignment vertical="center" wrapText="1"/>
    </xf>
    <xf numFmtId="49" fontId="64" fillId="16" borderId="145" applyNumberFormat="1" applyFont="1" applyFill="1" applyBorder="1" applyAlignment="1" applyProtection="0">
      <alignment horizontal="left" vertical="center"/>
    </xf>
    <xf numFmtId="0" fontId="65" fillId="16" borderId="146" applyNumberFormat="1" applyFont="1" applyFill="1" applyBorder="1" applyAlignment="1" applyProtection="0">
      <alignment horizontal="center" vertical="center" wrapText="1"/>
    </xf>
    <xf numFmtId="59" fontId="65" fillId="16" borderId="146" applyNumberFormat="1" applyFont="1" applyFill="1" applyBorder="1" applyAlignment="1" applyProtection="0">
      <alignment horizontal="left" vertical="center" wrapText="1"/>
    </xf>
    <xf numFmtId="59" fontId="65" fillId="16" borderId="131" applyNumberFormat="1" applyFont="1" applyFill="1" applyBorder="1" applyAlignment="1" applyProtection="0">
      <alignment horizontal="left" vertical="center" wrapText="1"/>
    </xf>
    <xf numFmtId="60" fontId="65" fillId="16" borderId="131" applyNumberFormat="1" applyFont="1" applyFill="1" applyBorder="1" applyAlignment="1" applyProtection="0">
      <alignment horizontal="left" vertical="center" wrapText="1"/>
    </xf>
    <xf numFmtId="59" fontId="63" fillId="16" borderId="147" applyNumberFormat="1" applyFont="1" applyFill="1" applyBorder="1" applyAlignment="1" applyProtection="0">
      <alignment horizontal="center" vertical="center"/>
    </xf>
    <xf numFmtId="59" fontId="63" fillId="16" borderId="148" applyNumberFormat="1" applyFont="1" applyFill="1" applyBorder="1" applyAlignment="1" applyProtection="0">
      <alignment horizontal="center" vertical="center"/>
    </xf>
    <xf numFmtId="49" fontId="35" fillId="4" borderId="133" applyNumberFormat="1" applyFont="1" applyFill="1" applyBorder="1" applyAlignment="1" applyProtection="0">
      <alignment vertical="center" wrapText="1"/>
    </xf>
    <xf numFmtId="0" fontId="35" fillId="4" borderId="133" applyNumberFormat="1" applyFont="1" applyFill="1" applyBorder="1" applyAlignment="1" applyProtection="0">
      <alignment horizontal="center" vertical="center" wrapText="1"/>
    </xf>
    <xf numFmtId="59" fontId="35" fillId="4" borderId="133" applyNumberFormat="1" applyFont="1" applyFill="1" applyBorder="1" applyAlignment="1" applyProtection="0">
      <alignment vertical="center" wrapText="1"/>
    </xf>
    <xf numFmtId="60" fontId="35" fillId="4" borderId="133" applyNumberFormat="1" applyFont="1" applyFill="1" applyBorder="1" applyAlignment="1" applyProtection="0">
      <alignment vertical="center" wrapText="1"/>
    </xf>
    <xf numFmtId="59" fontId="45" fillId="4" borderId="133" applyNumberFormat="1" applyFont="1" applyFill="1" applyBorder="1" applyAlignment="1" applyProtection="0">
      <alignment vertical="center" wrapText="1"/>
    </xf>
    <xf numFmtId="49" fontId="43" fillId="8" borderId="149" applyNumberFormat="1" applyFont="1" applyFill="1" applyBorder="1" applyAlignment="1" applyProtection="0">
      <alignment horizontal="left" vertical="center"/>
    </xf>
    <xf numFmtId="0" fontId="39" fillId="8" borderId="150" applyNumberFormat="1" applyFont="1" applyFill="1" applyBorder="1" applyAlignment="1" applyProtection="0">
      <alignment horizontal="center" vertical="center" wrapText="1"/>
    </xf>
    <xf numFmtId="59" fontId="39" fillId="8" borderId="150" applyNumberFormat="1" applyFont="1" applyFill="1" applyBorder="1" applyAlignment="1" applyProtection="0">
      <alignment horizontal="left" vertical="center" wrapText="1"/>
    </xf>
    <xf numFmtId="49" fontId="39" fillId="8" borderId="150" applyNumberFormat="1" applyFont="1" applyFill="1" applyBorder="1" applyAlignment="1" applyProtection="0">
      <alignment horizontal="left" vertical="center" wrapText="1"/>
    </xf>
    <xf numFmtId="59" fontId="40" fillId="8" borderId="150" applyNumberFormat="1" applyFont="1" applyFill="1" applyBorder="1" applyAlignment="1" applyProtection="0">
      <alignment horizontal="center" vertical="center"/>
    </xf>
    <xf numFmtId="59" fontId="40" fillId="8" borderId="151" applyNumberFormat="1" applyFont="1" applyFill="1" applyBorder="1" applyAlignment="1" applyProtection="0">
      <alignment horizontal="center" vertical="center"/>
    </xf>
    <xf numFmtId="49" fontId="61" fillId="16" borderId="152" applyNumberFormat="1" applyFont="1" applyFill="1" applyBorder="1" applyAlignment="1" applyProtection="0">
      <alignment horizontal="left" vertical="center"/>
    </xf>
    <xf numFmtId="0" fontId="62" fillId="16" borderId="153" applyNumberFormat="1" applyFont="1" applyFill="1" applyBorder="1" applyAlignment="1" applyProtection="0">
      <alignment horizontal="center" vertical="center" wrapText="1"/>
    </xf>
    <xf numFmtId="59" fontId="62" fillId="16" borderId="153" applyNumberFormat="1" applyFont="1" applyFill="1" applyBorder="1" applyAlignment="1" applyProtection="0">
      <alignment horizontal="left" vertical="center" wrapText="1"/>
    </xf>
    <xf numFmtId="49" fontId="62" fillId="16" borderId="153" applyNumberFormat="1" applyFont="1" applyFill="1" applyBorder="1" applyAlignment="1" applyProtection="0">
      <alignment horizontal="left" vertical="center" wrapText="1"/>
    </xf>
    <xf numFmtId="59" fontId="67" fillId="16" borderId="154" applyNumberFormat="1" applyFont="1" applyFill="1" applyBorder="1" applyAlignment="1" applyProtection="0">
      <alignment horizontal="center" vertical="center"/>
    </xf>
    <xf numFmtId="59" fontId="67" fillId="16" borderId="155" applyNumberFormat="1" applyFont="1" applyFill="1" applyBorder="1" applyAlignment="1" applyProtection="0">
      <alignment horizontal="center" vertical="center"/>
    </xf>
    <xf numFmtId="49" fontId="56" fillId="15" borderId="156" applyNumberFormat="1" applyFont="1" applyFill="1" applyBorder="1" applyAlignment="1" applyProtection="0">
      <alignment horizontal="left" vertical="center"/>
    </xf>
    <xf numFmtId="49" fontId="57" fillId="15" borderId="118" applyNumberFormat="1" applyFont="1" applyFill="1" applyBorder="1" applyAlignment="1" applyProtection="0">
      <alignment horizontal="center" vertical="center" wrapText="1"/>
    </xf>
    <xf numFmtId="0" fontId="0" borderId="118" applyNumberFormat="0" applyFont="1" applyFill="0" applyBorder="1" applyAlignment="1" applyProtection="0">
      <alignment vertical="top" wrapText="1"/>
    </xf>
    <xf numFmtId="49" fontId="35" fillId="4" borderId="157" applyNumberFormat="1" applyFont="1" applyFill="1" applyBorder="1" applyAlignment="1" applyProtection="0">
      <alignment horizontal="left" vertical="center" wrapText="1"/>
    </xf>
    <xf numFmtId="0" fontId="57" fillId="4" borderId="158" applyNumberFormat="0" applyFont="1" applyFill="1" applyBorder="1" applyAlignment="1" applyProtection="0">
      <alignment horizontal="center" vertical="center" wrapText="1"/>
    </xf>
    <xf numFmtId="0" fontId="0" borderId="158" applyNumberFormat="0" applyFont="1" applyFill="0" applyBorder="1" applyAlignment="1" applyProtection="0">
      <alignment vertical="top" wrapText="1"/>
    </xf>
    <xf numFmtId="59" fontId="58" fillId="4" borderId="159" applyNumberFormat="1" applyFont="1" applyFill="1" applyBorder="1" applyAlignment="1" applyProtection="0">
      <alignment horizontal="center" vertical="center"/>
    </xf>
    <xf numFmtId="59" fontId="58" fillId="4" borderId="160" applyNumberFormat="1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top" wrapText="1"/>
    </xf>
    <xf numFmtId="59" fontId="15" fillId="2" borderId="4" applyNumberFormat="1" applyFont="1" applyFill="1" applyBorder="1" applyAlignment="1" applyProtection="0">
      <alignment vertical="center" wrapText="1"/>
    </xf>
    <xf numFmtId="49" fontId="10" fillId="2" borderId="19" applyNumberFormat="1" applyFont="1" applyFill="1" applyBorder="1" applyAlignment="1" applyProtection="0">
      <alignment vertical="center" wrapText="1"/>
    </xf>
    <xf numFmtId="49" fontId="10" fillId="2" borderId="161" applyNumberFormat="1" applyFont="1" applyFill="1" applyBorder="1" applyAlignment="1" applyProtection="0">
      <alignment vertical="center" indent="1" wrapText="1"/>
    </xf>
    <xf numFmtId="0" fontId="10" fillId="2" borderId="162" applyNumberFormat="1" applyFont="1" applyFill="1" applyBorder="1" applyAlignment="1" applyProtection="0">
      <alignment horizontal="center" vertical="center" wrapText="1"/>
    </xf>
    <xf numFmtId="59" fontId="10" fillId="2" borderId="162" applyNumberFormat="1" applyFont="1" applyFill="1" applyBorder="1" applyAlignment="1" applyProtection="0">
      <alignment vertical="center" wrapText="1"/>
    </xf>
    <xf numFmtId="60" fontId="10" fillId="2" borderId="162" applyNumberFormat="1" applyFont="1" applyFill="1" applyBorder="1" applyAlignment="1" applyProtection="0">
      <alignment vertical="center" wrapText="1"/>
    </xf>
    <xf numFmtId="59" fontId="11" fillId="2" borderId="163" applyNumberFormat="1" applyFont="1" applyFill="1" applyBorder="1" applyAlignment="1" applyProtection="0">
      <alignment vertical="center" wrapText="1"/>
    </xf>
    <xf numFmtId="49" fontId="10" fillId="17" borderId="164" applyNumberFormat="1" applyFont="1" applyFill="1" applyBorder="1" applyAlignment="1" applyProtection="0">
      <alignment vertical="center" wrapText="1"/>
    </xf>
    <xf numFmtId="0" fontId="10" fillId="17" borderId="165" applyNumberFormat="1" applyFont="1" applyFill="1" applyBorder="1" applyAlignment="1" applyProtection="0">
      <alignment horizontal="center" vertical="center" wrapText="1"/>
    </xf>
    <xf numFmtId="59" fontId="10" fillId="17" borderId="165" applyNumberFormat="1" applyFont="1" applyFill="1" applyBorder="1" applyAlignment="1" applyProtection="0">
      <alignment vertical="center" wrapText="1"/>
    </xf>
    <xf numFmtId="60" fontId="10" fillId="17" borderId="165" applyNumberFormat="1" applyFont="1" applyFill="1" applyBorder="1" applyAlignment="1" applyProtection="0">
      <alignment vertical="center" wrapText="1"/>
    </xf>
    <xf numFmtId="59" fontId="11" fillId="17" borderId="166" applyNumberFormat="1" applyFont="1" applyFill="1" applyBorder="1" applyAlignment="1" applyProtection="0">
      <alignment vertical="center" wrapText="1"/>
    </xf>
    <xf numFmtId="49" fontId="10" fillId="4" borderId="167" applyNumberFormat="1" applyFont="1" applyFill="1" applyBorder="1" applyAlignment="1" applyProtection="0">
      <alignment vertical="center" wrapText="1"/>
    </xf>
    <xf numFmtId="0" fontId="10" fillId="4" borderId="167" applyNumberFormat="1" applyFont="1" applyFill="1" applyBorder="1" applyAlignment="1" applyProtection="0">
      <alignment horizontal="center" vertical="center" wrapText="1"/>
    </xf>
    <xf numFmtId="59" fontId="10" fillId="4" borderId="167" applyNumberFormat="1" applyFont="1" applyFill="1" applyBorder="1" applyAlignment="1" applyProtection="0">
      <alignment vertical="center" wrapText="1"/>
    </xf>
    <xf numFmtId="60" fontId="10" fillId="4" borderId="167" applyNumberFormat="1" applyFont="1" applyFill="1" applyBorder="1" applyAlignment="1" applyProtection="0">
      <alignment vertical="center" wrapText="1"/>
    </xf>
    <xf numFmtId="59" fontId="11" fillId="4" borderId="168" applyNumberFormat="1" applyFont="1" applyFill="1" applyBorder="1" applyAlignment="1" applyProtection="0">
      <alignment vertical="center" wrapText="1"/>
    </xf>
    <xf numFmtId="49" fontId="10" fillId="2" borderId="169" applyNumberFormat="1" applyFont="1" applyFill="1" applyBorder="1" applyAlignment="1" applyProtection="0">
      <alignment horizontal="left" vertical="center" wrapText="1"/>
    </xf>
    <xf numFmtId="0" fontId="10" fillId="2" borderId="170" applyNumberFormat="1" applyFont="1" applyFill="1" applyBorder="1" applyAlignment="1" applyProtection="0">
      <alignment horizontal="center" vertical="center" wrapText="1"/>
    </xf>
    <xf numFmtId="59" fontId="10" fillId="2" borderId="170" applyNumberFormat="1" applyFont="1" applyFill="1" applyBorder="1" applyAlignment="1" applyProtection="0">
      <alignment vertical="center" wrapText="1"/>
    </xf>
    <xf numFmtId="60" fontId="10" fillId="2" borderId="170" applyNumberFormat="1" applyFont="1" applyFill="1" applyBorder="1" applyAlignment="1" applyProtection="0">
      <alignment vertical="center" wrapText="1"/>
    </xf>
    <xf numFmtId="59" fontId="11" fillId="2" borderId="171" applyNumberFormat="1" applyFont="1" applyFill="1" applyBorder="1" applyAlignment="1" applyProtection="0">
      <alignment vertical="center" wrapText="1"/>
    </xf>
    <xf numFmtId="49" fontId="10" fillId="2" borderId="161" applyNumberFormat="1" applyFont="1" applyFill="1" applyBorder="1" applyAlignment="1" applyProtection="0">
      <alignment vertical="center" wrapText="1"/>
    </xf>
    <xf numFmtId="0" fontId="68" fillId="18" borderId="172" applyNumberFormat="0" applyFont="1" applyFill="1" applyBorder="1" applyAlignment="1" applyProtection="0">
      <alignment vertical="top" wrapText="1"/>
    </xf>
    <xf numFmtId="0" fontId="0" borderId="173" applyNumberFormat="0" applyFont="1" applyFill="0" applyBorder="1" applyAlignment="1" applyProtection="0">
      <alignment vertical="top" wrapText="1"/>
    </xf>
    <xf numFmtId="0" fontId="0" borderId="174" applyNumberFormat="0" applyFont="1" applyFill="0" applyBorder="1" applyAlignment="1" applyProtection="0">
      <alignment vertical="top" wrapText="1"/>
    </xf>
    <xf numFmtId="49" fontId="21" fillId="19" borderId="4" applyNumberFormat="1" applyFont="1" applyFill="1" applyBorder="1" applyAlignment="1" applyProtection="0">
      <alignment horizontal="left" vertical="center"/>
    </xf>
    <xf numFmtId="49" fontId="24" fillId="19" borderId="4" applyNumberFormat="1" applyFont="1" applyFill="1" applyBorder="1" applyAlignment="1" applyProtection="0">
      <alignment horizontal="left" vertical="center"/>
    </xf>
    <xf numFmtId="0" fontId="21" fillId="8" borderId="4" applyNumberFormat="0" applyFont="1" applyFill="1" applyBorder="1" applyAlignment="1" applyProtection="0">
      <alignment horizontal="left" vertical="center"/>
    </xf>
    <xf numFmtId="59" fontId="6" fillId="19" borderId="4" applyNumberFormat="1" applyFont="1" applyFill="1" applyBorder="1" applyAlignment="1" applyProtection="0">
      <alignment horizontal="center" vertical="center" wrapText="1"/>
    </xf>
    <xf numFmtId="49" fontId="24" fillId="8" borderId="4" applyNumberFormat="1" applyFont="1" applyFill="1" applyBorder="1" applyAlignment="1" applyProtection="0">
      <alignment horizontal="left" vertical="center"/>
    </xf>
    <xf numFmtId="49" fontId="21" fillId="5" borderId="175" applyNumberFormat="1" applyFont="1" applyFill="1" applyBorder="1" applyAlignment="1" applyProtection="0">
      <alignment horizontal="left" vertical="center"/>
    </xf>
    <xf numFmtId="0" fontId="8" fillId="5" borderId="175" applyNumberFormat="0" applyFont="1" applyFill="1" applyBorder="1" applyAlignment="1" applyProtection="0">
      <alignment horizontal="left" vertical="center" wrapText="1"/>
    </xf>
    <xf numFmtId="0" fontId="0" borderId="175" applyNumberFormat="0" applyFont="1" applyFill="0" applyBorder="1" applyAlignment="1" applyProtection="0">
      <alignment vertical="top" wrapText="1"/>
    </xf>
    <xf numFmtId="59" fontId="6" fillId="5" borderId="175" applyNumberFormat="1" applyFont="1" applyFill="1" applyBorder="1" applyAlignment="1" applyProtection="0">
      <alignment horizontal="center" vertical="center" wrapText="1"/>
    </xf>
    <xf numFmtId="49" fontId="21" fillId="2" borderId="176" applyNumberFormat="1" applyFont="1" applyFill="1" applyBorder="1" applyAlignment="1" applyProtection="0">
      <alignment horizontal="left" vertical="center"/>
    </xf>
    <xf numFmtId="0" fontId="8" fillId="2" borderId="177" applyNumberFormat="0" applyFont="1" applyFill="1" applyBorder="1" applyAlignment="1" applyProtection="0">
      <alignment horizontal="left" vertical="center" wrapText="1"/>
    </xf>
    <xf numFmtId="0" fontId="0" borderId="177" applyNumberFormat="0" applyFont="1" applyFill="0" applyBorder="1" applyAlignment="1" applyProtection="0">
      <alignment vertical="top" wrapText="1"/>
    </xf>
    <xf numFmtId="59" fontId="6" fillId="2" borderId="178" applyNumberFormat="1" applyFont="1" applyFill="1" applyBorder="1" applyAlignment="1" applyProtection="0">
      <alignment horizontal="center" vertical="center" wrapText="1"/>
    </xf>
    <xf numFmtId="49" fontId="21" fillId="7" borderId="179" applyNumberFormat="1" applyFont="1" applyFill="1" applyBorder="1" applyAlignment="1" applyProtection="0">
      <alignment horizontal="left" vertical="center"/>
    </xf>
    <xf numFmtId="59" fontId="6" fillId="7" borderId="179" applyNumberFormat="1" applyFont="1" applyFill="1" applyBorder="1" applyAlignment="1" applyProtection="0">
      <alignment horizontal="center" vertical="center" wrapText="1"/>
    </xf>
    <xf numFmtId="59" fontId="6" borderId="179" applyNumberFormat="1" applyFont="1" applyFill="0" applyBorder="1" applyAlignment="1" applyProtection="0">
      <alignment horizontal="center" vertical="center" wrapText="1"/>
    </xf>
    <xf numFmtId="49" fontId="8" borderId="179" applyNumberFormat="1" applyFont="1" applyFill="0" applyBorder="1" applyAlignment="1" applyProtection="0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3f3f3"/>
      <rgbColor rgb="fffefffe"/>
      <rgbColor rgb="ffffff00"/>
      <rgbColor rgb="ffd31e76"/>
      <rgbColor rgb="ff017000"/>
      <rgbColor rgb="ffd4f3d3"/>
      <rgbColor rgb="ffd5d5d5"/>
      <rgbColor rgb="ff960d52"/>
      <rgbColor rgb="fff3e5e5"/>
      <rgbColor rgb="fff27100"/>
      <rgbColor rgb="fff3e2d4"/>
      <rgbColor rgb="ffed220b"/>
      <rgbColor rgb="ffd31876"/>
      <rgbColor rgb="ffffdee4"/>
      <rgbColor rgb="ff004c7f"/>
      <rgbColor rgb="ff0075b9"/>
      <rgbColor rgb="fffff056"/>
      <rgbColor rgb="ff56c1fe"/>
      <rgbColor rgb="ffadfdfe"/>
      <rgbColor rgb="ffb41700"/>
      <rgbColor rgb="ffffd931"/>
      <rgbColor rgb="ff00ab8e"/>
      <rgbColor rgb="ff006b65"/>
      <rgbColor rgb="ffdefcf6"/>
      <rgbColor rgb="ffdeffde"/>
      <rgbColor rgb="ffdbdbdb"/>
      <rgbColor rgb="ffa5a5a5"/>
      <rgbColor rgb="ff3f3f3f"/>
      <rgbColor rgb="fff3e5e5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33"/>
  <sheetViews>
    <sheetView workbookViewId="0" showGridLines="0" defaultGridColor="1">
      <pane topLeftCell="B4" xSplit="1" ySplit="3" activePane="bottomRight" state="frozen"/>
    </sheetView>
  </sheetViews>
  <sheetFormatPr defaultColWidth="16.3333" defaultRowHeight="19.9" customHeight="1" outlineLevelRow="0" outlineLevelCol="0"/>
  <cols>
    <col min="1" max="1" width="68.4219" style="1" customWidth="1"/>
    <col min="2" max="2" width="17.5" style="1" customWidth="1"/>
    <col min="3" max="3" width="15.9219" style="1" customWidth="1"/>
    <col min="4" max="4" width="14.9922" style="1" customWidth="1"/>
    <col min="5" max="5" width="15.3516" style="1" customWidth="1"/>
    <col min="6" max="6" width="16.25" style="1" customWidth="1"/>
    <col min="7" max="7" width="19.2266" style="1" customWidth="1"/>
    <col min="8" max="16384" width="16.3516" style="1" customWidth="1"/>
  </cols>
  <sheetData>
    <row r="1" ht="81" customHeight="1">
      <c r="A1" t="s" s="2">
        <v>0</v>
      </c>
      <c r="B1" s="3"/>
      <c r="C1" s="3"/>
      <c r="D1" s="3"/>
      <c r="E1" s="3"/>
      <c r="F1" s="3"/>
      <c r="G1" s="4"/>
    </row>
    <row r="2" ht="18.3" customHeight="1">
      <c r="A2" s="5"/>
      <c r="B2" s="5"/>
      <c r="C2" s="5"/>
      <c r="D2" s="5"/>
      <c r="E2" s="5"/>
      <c r="F2" s="5"/>
      <c r="G2" s="5"/>
    </row>
    <row r="3" ht="47.8" customHeight="1">
      <c r="A3" s="6"/>
      <c r="B3" t="s" s="7">
        <v>1</v>
      </c>
      <c r="C3" t="s" s="7">
        <v>2</v>
      </c>
      <c r="D3" t="s" s="7">
        <v>3</v>
      </c>
      <c r="E3" t="s" s="7">
        <v>4</v>
      </c>
      <c r="F3" t="s" s="7">
        <v>5</v>
      </c>
      <c r="G3" t="s" s="7">
        <v>6</v>
      </c>
    </row>
    <row r="4" ht="58.7" customHeight="1">
      <c r="A4" t="s" s="8">
        <v>7</v>
      </c>
      <c r="B4" s="9"/>
      <c r="C4" s="9"/>
      <c r="D4" s="9"/>
      <c r="E4" s="9"/>
      <c r="F4" s="9"/>
      <c r="G4" s="10" cm="1">
        <f t="array" ref="G4">G5+G12+G18</f>
        <v>128135</v>
      </c>
    </row>
    <row r="5" ht="50.55" customHeight="1">
      <c r="A5" t="s" s="11">
        <v>8</v>
      </c>
      <c r="B5" s="12"/>
      <c r="C5" s="13"/>
      <c r="D5" s="12"/>
      <c r="E5" s="13"/>
      <c r="F5" s="14"/>
      <c r="G5" s="15" cm="1">
        <f t="array" ref="G5">SUM(G6:G10)</f>
        <v>46777.5</v>
      </c>
    </row>
    <row r="6" ht="57.15" customHeight="1">
      <c r="A6" t="s" s="16">
        <v>9</v>
      </c>
      <c r="B6" s="17">
        <v>15</v>
      </c>
      <c r="C6" s="18">
        <v>1015</v>
      </c>
      <c r="D6" s="17">
        <v>1</v>
      </c>
      <c r="E6" s="18" cm="1">
        <f t="array" ref="E6">B6*C6*D6</f>
        <v>15225</v>
      </c>
      <c r="F6" s="19" cm="1">
        <f t="array" ref="F6">E6*0.1</f>
        <v>1522.5</v>
      </c>
      <c r="G6" s="20" cm="1">
        <f t="array" ref="G6">E6+F6</f>
        <v>16747.5</v>
      </c>
    </row>
    <row r="7" ht="53.35" customHeight="1">
      <c r="A7" t="s" s="16">
        <v>10</v>
      </c>
      <c r="B7" s="17">
        <v>15</v>
      </c>
      <c r="C7" s="18">
        <v>200</v>
      </c>
      <c r="D7" s="17">
        <v>1</v>
      </c>
      <c r="E7" s="18" cm="1">
        <f t="array" ref="E7">B7*C7*D7</f>
        <v>3000</v>
      </c>
      <c r="F7" s="19" cm="1">
        <f t="array" ref="F7">E7*0.1</f>
        <v>300</v>
      </c>
      <c r="G7" s="20" cm="1">
        <f t="array" ref="G7">E7+F7</f>
        <v>3300</v>
      </c>
    </row>
    <row r="8" ht="53.35" customHeight="1">
      <c r="A8" t="s" s="16">
        <v>11</v>
      </c>
      <c r="B8" s="17">
        <v>15</v>
      </c>
      <c r="C8" s="18">
        <v>405</v>
      </c>
      <c r="D8" s="17">
        <v>1</v>
      </c>
      <c r="E8" s="18" cm="1">
        <f t="array" ref="E8">B8*C8*D8</f>
        <v>6075</v>
      </c>
      <c r="F8" s="19" cm="1">
        <f t="array" ref="F8">E8*0.1</f>
        <v>607.5</v>
      </c>
      <c r="G8" s="20" cm="1">
        <f t="array" ref="G8">E8+F8</f>
        <v>6682.5</v>
      </c>
    </row>
    <row r="9" ht="53.35" customHeight="1">
      <c r="A9" t="s" s="16">
        <v>12</v>
      </c>
      <c r="B9" s="17">
        <v>15</v>
      </c>
      <c r="C9" s="18">
        <v>1015</v>
      </c>
      <c r="D9" s="17">
        <v>1</v>
      </c>
      <c r="E9" s="18" cm="1">
        <f t="array" ref="E9">B9*C9*D9</f>
        <v>15225</v>
      </c>
      <c r="F9" s="19" cm="1">
        <f t="array" ref="F9">E9*0.1</f>
        <v>1522.5</v>
      </c>
      <c r="G9" s="20" cm="1">
        <f t="array" ref="G9">E9+F9</f>
        <v>16747.5</v>
      </c>
    </row>
    <row r="10" ht="50.2" customHeight="1">
      <c r="A10" t="s" s="21">
        <v>10</v>
      </c>
      <c r="B10" s="22">
        <v>15</v>
      </c>
      <c r="C10" s="23">
        <v>200</v>
      </c>
      <c r="D10" s="22">
        <v>1</v>
      </c>
      <c r="E10" s="23" cm="1">
        <f t="array" ref="E10">B10*C10*D10</f>
        <v>3000</v>
      </c>
      <c r="F10" s="24" cm="1">
        <f t="array" ref="F10">E10*0.1</f>
        <v>300</v>
      </c>
      <c r="G10" s="25" cm="1">
        <f t="array" ref="G10">E10+F10</f>
        <v>3300</v>
      </c>
    </row>
    <row r="11" ht="24.7" customHeight="1">
      <c r="A11" s="26"/>
      <c r="B11" s="27"/>
      <c r="C11" s="28"/>
      <c r="D11" s="27"/>
      <c r="E11" s="28"/>
      <c r="F11" s="29"/>
      <c r="G11" s="30"/>
    </row>
    <row r="12" ht="42.75" customHeight="1">
      <c r="A12" t="s" s="11">
        <v>13</v>
      </c>
      <c r="B12" s="12"/>
      <c r="C12" s="13"/>
      <c r="D12" s="12"/>
      <c r="E12" s="13"/>
      <c r="F12" s="14"/>
      <c r="G12" s="15" cm="1">
        <f t="array" ref="G12">SUM(G13:G16)</f>
        <v>46777.5</v>
      </c>
    </row>
    <row r="13" ht="54.4" customHeight="1">
      <c r="A13" t="s" s="16">
        <v>14</v>
      </c>
      <c r="B13" s="17">
        <v>15</v>
      </c>
      <c r="C13" s="18">
        <v>1100</v>
      </c>
      <c r="D13" s="17">
        <v>1</v>
      </c>
      <c r="E13" s="18" cm="1">
        <f t="array" ref="E13">B13*C13*D13</f>
        <v>16500</v>
      </c>
      <c r="F13" s="19" cm="1">
        <f t="array" ref="F13">E13*0.1</f>
        <v>1650</v>
      </c>
      <c r="G13" s="20" cm="1">
        <f t="array" ref="G13">E13+F13</f>
        <v>18150</v>
      </c>
    </row>
    <row r="14" ht="46.45" customHeight="1">
      <c r="A14" t="s" s="16">
        <v>15</v>
      </c>
      <c r="B14" s="17">
        <v>15</v>
      </c>
      <c r="C14" s="18">
        <v>520</v>
      </c>
      <c r="D14" s="17">
        <v>1</v>
      </c>
      <c r="E14" s="18" cm="1">
        <f t="array" ref="E14">B14*C14*D14</f>
        <v>7800</v>
      </c>
      <c r="F14" s="19" cm="1">
        <f t="array" ref="F14">E14*0.1</f>
        <v>780</v>
      </c>
      <c r="G14" s="20" cm="1">
        <f t="array" ref="G14">E14+F14</f>
        <v>8580</v>
      </c>
    </row>
    <row r="15" ht="46.45" customHeight="1">
      <c r="A15" t="s" s="16">
        <v>9</v>
      </c>
      <c r="B15" s="17">
        <v>15</v>
      </c>
      <c r="C15" s="18">
        <v>1015</v>
      </c>
      <c r="D15" s="17">
        <v>1</v>
      </c>
      <c r="E15" s="18" cm="1">
        <f t="array" ref="E15">B15*C15*D15</f>
        <v>15225</v>
      </c>
      <c r="F15" s="19" cm="1">
        <f t="array" ref="F15">E15*0.1</f>
        <v>1522.5</v>
      </c>
      <c r="G15" s="20" cm="1">
        <f t="array" ref="G15">E15+F15</f>
        <v>16747.5</v>
      </c>
    </row>
    <row r="16" ht="50.25" customHeight="1">
      <c r="A16" t="s" s="21">
        <v>10</v>
      </c>
      <c r="B16" s="22">
        <v>15</v>
      </c>
      <c r="C16" s="23">
        <v>200</v>
      </c>
      <c r="D16" s="22">
        <v>1</v>
      </c>
      <c r="E16" s="23" cm="1">
        <f t="array" ref="E16">B16*C16*D16</f>
        <v>3000</v>
      </c>
      <c r="F16" s="24" cm="1">
        <f t="array" ref="F16">E16*0.1</f>
        <v>300</v>
      </c>
      <c r="G16" s="25" cm="1">
        <f t="array" ref="G16">E16+F16</f>
        <v>3300</v>
      </c>
    </row>
    <row r="17" ht="24.7" customHeight="1">
      <c r="A17" s="31"/>
      <c r="B17" s="32"/>
      <c r="C17" s="33"/>
      <c r="D17" s="32"/>
      <c r="E17" s="33"/>
      <c r="F17" s="34"/>
      <c r="G17" s="35"/>
    </row>
    <row r="18" ht="43.9" customHeight="1">
      <c r="A18" t="s" s="36">
        <v>16</v>
      </c>
      <c r="B18" s="37"/>
      <c r="C18" s="37"/>
      <c r="D18" s="37"/>
      <c r="E18" s="37"/>
      <c r="F18" s="37"/>
      <c r="G18" s="38" cm="1">
        <f t="array" ref="G18">SUM(G19:G22)</f>
        <v>34580</v>
      </c>
    </row>
    <row r="19" ht="21.15" customHeight="1">
      <c r="A19" t="s" s="39">
        <v>17</v>
      </c>
      <c r="B19" s="17">
        <v>1</v>
      </c>
      <c r="C19" s="40">
        <v>2000</v>
      </c>
      <c r="D19" s="17">
        <v>2</v>
      </c>
      <c r="E19" s="18" cm="1">
        <f t="array" ref="E19">B19*C19*D19</f>
        <v>4000</v>
      </c>
      <c r="F19" s="19" cm="1">
        <f t="array" ref="F19">E19*0.1</f>
        <v>400</v>
      </c>
      <c r="G19" s="41" cm="1">
        <f t="array" ref="G19">E19+F19</f>
        <v>4400</v>
      </c>
    </row>
    <row r="20" ht="21.15" customHeight="1">
      <c r="A20" t="s" s="39">
        <v>18</v>
      </c>
      <c r="B20" s="17">
        <v>1</v>
      </c>
      <c r="C20" s="40">
        <v>5500</v>
      </c>
      <c r="D20" s="17">
        <v>2</v>
      </c>
      <c r="E20" s="18" cm="1">
        <f t="array" ref="E20">B20*C20*D20</f>
        <v>11000</v>
      </c>
      <c r="F20" s="19" cm="1">
        <f t="array" ref="F20">E20*0.1</f>
        <v>1100</v>
      </c>
      <c r="G20" s="41" cm="1">
        <f t="array" ref="G20">E20+F20</f>
        <v>12100</v>
      </c>
    </row>
    <row r="21" ht="21.15" customHeight="1">
      <c r="A21" t="s" s="39">
        <v>19</v>
      </c>
      <c r="B21" s="17">
        <v>8</v>
      </c>
      <c r="C21" s="40">
        <v>800</v>
      </c>
      <c r="D21" s="17">
        <v>2</v>
      </c>
      <c r="E21" s="18" cm="1">
        <f t="array" ref="E21">B21*C21*D21</f>
        <v>12800</v>
      </c>
      <c r="F21" s="19" cm="1">
        <f t="array" ref="F21">E21*0.1</f>
        <v>1280</v>
      </c>
      <c r="G21" s="41" cm="1">
        <f t="array" ref="G21">E21+F21</f>
        <v>14080</v>
      </c>
    </row>
    <row r="22" ht="24.7" customHeight="1">
      <c r="A22" t="s" s="42">
        <v>20</v>
      </c>
      <c r="B22" s="43">
        <v>1</v>
      </c>
      <c r="C22" s="44">
        <v>2000</v>
      </c>
      <c r="D22" s="43">
        <v>2</v>
      </c>
      <c r="E22" s="44" cm="1">
        <f t="array" ref="E22">B22*C22*D22</f>
        <v>4000</v>
      </c>
      <c r="F22" s="45"/>
      <c r="G22" s="46" cm="1">
        <f t="array" ref="G22">E22+F22</f>
        <v>4000</v>
      </c>
    </row>
    <row r="23" ht="24.7" customHeight="1">
      <c r="A23" s="47"/>
      <c r="B23" s="48"/>
      <c r="C23" s="49"/>
      <c r="D23" s="48"/>
      <c r="E23" s="49"/>
      <c r="F23" s="47"/>
      <c r="G23" s="49"/>
    </row>
    <row r="24" ht="51.45" customHeight="1">
      <c r="A24" t="s" s="50">
        <v>21</v>
      </c>
      <c r="B24" s="51"/>
      <c r="C24" s="52"/>
      <c r="D24" s="51"/>
      <c r="E24" s="52"/>
      <c r="F24" s="53"/>
      <c r="G24" s="54" cm="1">
        <f t="array" ref="G24">SUM(G25:G28)</f>
        <v>61260.1</v>
      </c>
    </row>
    <row r="25" ht="53.9" customHeight="1">
      <c r="A25" t="s" s="55">
        <v>22</v>
      </c>
      <c r="B25" s="17">
        <v>2</v>
      </c>
      <c r="C25" s="18">
        <v>6705</v>
      </c>
      <c r="D25" s="17">
        <v>1</v>
      </c>
      <c r="E25" s="18" cm="1">
        <f t="array" ref="E25">B25*C25*D25</f>
        <v>13410</v>
      </c>
      <c r="F25" s="19" cm="1">
        <f t="array" ref="F25">E25*0.1</f>
        <v>1341</v>
      </c>
      <c r="G25" s="56" cm="1">
        <f t="array" ref="G25">E25+F25</f>
        <v>14751</v>
      </c>
    </row>
    <row r="26" ht="53.9" customHeight="1">
      <c r="A26" t="s" s="57">
        <v>23</v>
      </c>
      <c r="B26" s="17">
        <v>2</v>
      </c>
      <c r="C26" s="18">
        <v>6303</v>
      </c>
      <c r="D26" s="17">
        <v>1</v>
      </c>
      <c r="E26" s="18" cm="1">
        <f t="array" ref="E26">B26*C26*D26</f>
        <v>12606</v>
      </c>
      <c r="F26" s="19" cm="1">
        <f t="array" ref="F26">E26*0.1</f>
        <v>1260.6</v>
      </c>
      <c r="G26" s="56" cm="1">
        <f t="array" ref="G26">E26+F26</f>
        <v>13866.6</v>
      </c>
    </row>
    <row r="27" ht="53.9" customHeight="1">
      <c r="A27" t="s" s="57">
        <v>24</v>
      </c>
      <c r="B27" s="17">
        <v>1</v>
      </c>
      <c r="C27" s="18">
        <v>10075</v>
      </c>
      <c r="D27" s="17">
        <v>1</v>
      </c>
      <c r="E27" s="18" cm="1">
        <f t="array" ref="E27">B27*C27*D27</f>
        <v>10075</v>
      </c>
      <c r="F27" s="19" cm="1">
        <f t="array" ref="F27">E27*0.1</f>
        <v>1007.5</v>
      </c>
      <c r="G27" s="56" cm="1">
        <f t="array" ref="G27">E27+F27</f>
        <v>11082.5</v>
      </c>
    </row>
    <row r="28" ht="24.7" customHeight="1">
      <c r="A28" t="s" s="58">
        <v>25</v>
      </c>
      <c r="B28" s="59">
        <v>7</v>
      </c>
      <c r="C28" s="60">
        <v>2800</v>
      </c>
      <c r="D28" s="59">
        <v>1</v>
      </c>
      <c r="E28" s="60" cm="1">
        <f t="array" ref="E28">B28*C28*D28</f>
        <v>19600</v>
      </c>
      <c r="F28" s="61" cm="1">
        <f t="array" ref="F28">E28*0.1</f>
        <v>1960</v>
      </c>
      <c r="G28" s="62" cm="1">
        <f t="array" ref="G28">E28+F28</f>
        <v>21560</v>
      </c>
    </row>
    <row r="29" ht="24.7" customHeight="1">
      <c r="A29" s="63"/>
      <c r="B29" s="64"/>
      <c r="C29" s="63"/>
      <c r="D29" s="64"/>
      <c r="E29" s="63"/>
      <c r="F29" s="63"/>
      <c r="G29" s="63"/>
    </row>
    <row r="30" ht="47.45" customHeight="1">
      <c r="A30" t="s" s="65">
        <v>7</v>
      </c>
      <c r="B30" s="66"/>
      <c r="C30" s="66"/>
      <c r="D30" s="66"/>
      <c r="E30" s="66"/>
      <c r="F30" s="66"/>
      <c r="G30" s="67" cm="1">
        <f t="array" ref="G30">G4</f>
        <v>128135</v>
      </c>
    </row>
    <row r="31" ht="47.45" customHeight="1">
      <c r="A31" t="s" s="68">
        <v>16</v>
      </c>
      <c r="B31" s="69"/>
      <c r="C31" s="69"/>
      <c r="D31" s="69"/>
      <c r="E31" s="69"/>
      <c r="F31" s="69"/>
      <c r="G31" s="70" cm="1">
        <f t="array" ref="G31">G18</f>
        <v>34580</v>
      </c>
    </row>
    <row r="32" ht="47.45" customHeight="1">
      <c r="A32" t="s" s="71">
        <v>21</v>
      </c>
      <c r="B32" s="72"/>
      <c r="C32" s="73"/>
      <c r="D32" s="72"/>
      <c r="E32" s="73"/>
      <c r="F32" s="74"/>
      <c r="G32" s="75" cm="1">
        <f t="array" ref="G32">G24</f>
        <v>61260.1</v>
      </c>
    </row>
    <row r="33" ht="47.45" customHeight="1">
      <c r="A33" t="s" s="76">
        <v>26</v>
      </c>
      <c r="B33" s="77"/>
      <c r="C33" s="77"/>
      <c r="D33" s="77"/>
      <c r="E33" s="77"/>
      <c r="F33" s="77"/>
      <c r="G33" s="78" cm="1">
        <f t="array" ref="G33">G31+G32+G30</f>
        <v>223975.1</v>
      </c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G51"/>
  <sheetViews>
    <sheetView workbookViewId="0" showGridLines="0" defaultGridColor="1">
      <pane topLeftCell="B4" xSplit="1" ySplit="3" activePane="bottomRight" state="frozen"/>
    </sheetView>
  </sheetViews>
  <sheetFormatPr defaultColWidth="16.3333" defaultRowHeight="19.9" customHeight="1" outlineLevelRow="0" outlineLevelCol="0"/>
  <cols>
    <col min="1" max="1" width="68.4219" style="79" customWidth="1"/>
    <col min="2" max="2" width="17.5" style="79" customWidth="1"/>
    <col min="3" max="3" width="15.9219" style="79" customWidth="1"/>
    <col min="4" max="4" width="14.9922" style="79" customWidth="1"/>
    <col min="5" max="5" width="15.3516" style="79" customWidth="1"/>
    <col min="6" max="6" width="16.25" style="79" customWidth="1"/>
    <col min="7" max="7" width="19.2266" style="79" customWidth="1"/>
    <col min="8" max="16384" width="16.3516" style="79" customWidth="1"/>
  </cols>
  <sheetData>
    <row r="1" ht="81" customHeight="1">
      <c r="A1" t="s" s="2">
        <v>27</v>
      </c>
      <c r="B1" s="3"/>
      <c r="C1" s="3"/>
      <c r="D1" s="3"/>
      <c r="E1" s="3"/>
      <c r="F1" s="3"/>
      <c r="G1" s="4"/>
    </row>
    <row r="2" ht="18.3" customHeight="1">
      <c r="A2" s="5"/>
      <c r="B2" s="5"/>
      <c r="C2" s="5"/>
      <c r="D2" s="5"/>
      <c r="E2" s="5"/>
      <c r="F2" s="5"/>
      <c r="G2" s="5"/>
    </row>
    <row r="3" ht="47.8" customHeight="1">
      <c r="A3" s="80"/>
      <c r="B3" t="s" s="81">
        <v>1</v>
      </c>
      <c r="C3" t="s" s="81">
        <v>2</v>
      </c>
      <c r="D3" t="s" s="81">
        <v>3</v>
      </c>
      <c r="E3" t="s" s="81">
        <v>4</v>
      </c>
      <c r="F3" t="s" s="81">
        <v>5</v>
      </c>
      <c r="G3" t="s" s="81">
        <v>6</v>
      </c>
    </row>
    <row r="4" ht="52.3" customHeight="1">
      <c r="A4" t="s" s="36">
        <v>28</v>
      </c>
      <c r="B4" s="37"/>
      <c r="C4" s="37"/>
      <c r="D4" s="37"/>
      <c r="E4" s="37"/>
      <c r="F4" s="37"/>
      <c r="G4" t="s" s="82">
        <v>29</v>
      </c>
    </row>
    <row r="5" ht="29.55" customHeight="1">
      <c r="A5" t="s" s="39">
        <v>30</v>
      </c>
      <c r="B5" s="17">
        <v>1</v>
      </c>
      <c r="C5" s="40">
        <v>0</v>
      </c>
      <c r="D5" s="17" cm="1">
        <f t="array" ref="D5">B5*C5</f>
        <v>0</v>
      </c>
      <c r="E5" s="18" cm="1">
        <f t="array" ref="E5">B5*C5*D5</f>
        <v>0</v>
      </c>
      <c r="F5" s="19" cm="1">
        <f t="array" ref="F5">E5</f>
        <v>0</v>
      </c>
      <c r="G5" s="41" cm="1">
        <f t="array" ref="G5">E5</f>
        <v>0</v>
      </c>
    </row>
    <row r="6" ht="60.15" customHeight="1">
      <c r="A6" t="s" s="83">
        <v>31</v>
      </c>
      <c r="B6" s="17">
        <v>1</v>
      </c>
      <c r="C6" s="18">
        <v>30000</v>
      </c>
      <c r="D6" s="17">
        <v>1</v>
      </c>
      <c r="E6" s="18" cm="1">
        <f t="array" ref="E6">B6*C6*D6</f>
        <v>30000</v>
      </c>
      <c r="F6" s="19"/>
      <c r="G6" s="41" cm="1">
        <f t="array" ref="G6">E6</f>
        <v>30000</v>
      </c>
    </row>
    <row r="7" ht="72.1" customHeight="1">
      <c r="A7" t="s" s="42">
        <v>32</v>
      </c>
      <c r="B7" s="43">
        <v>4</v>
      </c>
      <c r="C7" s="44">
        <v>15000</v>
      </c>
      <c r="D7" s="43">
        <v>1</v>
      </c>
      <c r="E7" s="44" cm="1">
        <f t="array" ref="E7">B7*C7*D7</f>
        <v>60000</v>
      </c>
      <c r="F7" s="45"/>
      <c r="G7" s="46" cm="1">
        <f t="array" ref="G7">E7</f>
        <v>60000</v>
      </c>
    </row>
    <row r="8" ht="21.55" customHeight="1">
      <c r="A8" s="47"/>
      <c r="B8" s="48"/>
      <c r="C8" s="49"/>
      <c r="D8" s="48"/>
      <c r="E8" s="49"/>
      <c r="F8" s="47"/>
      <c r="G8" s="49"/>
    </row>
    <row r="9" ht="57.15" customHeight="1">
      <c r="A9" t="s" s="50">
        <v>33</v>
      </c>
      <c r="B9" s="51"/>
      <c r="C9" s="52"/>
      <c r="D9" s="51"/>
      <c r="E9" s="52"/>
      <c r="F9" s="53"/>
      <c r="G9" t="s" s="84">
        <v>29</v>
      </c>
    </row>
    <row r="10" ht="72.1" customHeight="1">
      <c r="A10" t="s" s="55">
        <v>34</v>
      </c>
      <c r="B10" s="17">
        <v>10</v>
      </c>
      <c r="C10" s="18">
        <v>1800</v>
      </c>
      <c r="D10" s="17">
        <v>3</v>
      </c>
      <c r="E10" s="18" cm="1">
        <f t="array" ref="E10">B10*C10*D10</f>
        <v>54000</v>
      </c>
      <c r="F10" s="19"/>
      <c r="G10" s="56" cm="1">
        <f t="array" ref="G10">E10</f>
        <v>54000</v>
      </c>
    </row>
    <row r="11" ht="61.75" customHeight="1">
      <c r="A11" t="s" s="57">
        <v>35</v>
      </c>
      <c r="B11" s="17">
        <v>1</v>
      </c>
      <c r="C11" s="18">
        <v>11000</v>
      </c>
      <c r="D11" s="17">
        <v>3</v>
      </c>
      <c r="E11" s="18" cm="1">
        <f t="array" ref="E11">B11*C11*D11</f>
        <v>33000</v>
      </c>
      <c r="F11" s="19"/>
      <c r="G11" s="56" cm="1">
        <f t="array" ref="G11">E11</f>
        <v>33000</v>
      </c>
    </row>
    <row r="12" ht="36.6" customHeight="1">
      <c r="A12" t="s" s="58">
        <v>36</v>
      </c>
      <c r="B12" s="59">
        <v>4</v>
      </c>
      <c r="C12" s="60">
        <v>900</v>
      </c>
      <c r="D12" s="59">
        <v>3</v>
      </c>
      <c r="E12" s="60" cm="1">
        <f t="array" ref="E12">B12*C12*D12</f>
        <v>10800</v>
      </c>
      <c r="F12" s="61"/>
      <c r="G12" s="62" cm="1">
        <f t="array" ref="G12">E12</f>
        <v>10800</v>
      </c>
    </row>
    <row r="13" ht="21.55" customHeight="1">
      <c r="A13" s="63"/>
      <c r="B13" s="64"/>
      <c r="C13" s="63"/>
      <c r="D13" s="64"/>
      <c r="E13" s="63"/>
      <c r="F13" s="63"/>
      <c r="G13" s="63"/>
    </row>
    <row r="14" ht="58.7" customHeight="1">
      <c r="A14" t="s" s="8">
        <v>37</v>
      </c>
      <c r="B14" s="9"/>
      <c r="C14" s="9"/>
      <c r="D14" s="9"/>
      <c r="E14" s="9"/>
      <c r="F14" s="9"/>
      <c r="G14" s="10" cm="1">
        <f t="array" ref="G14">G15+G26+G37</f>
        <v>594408</v>
      </c>
    </row>
    <row r="15" ht="51.9" customHeight="1">
      <c r="A15" t="s" s="11">
        <v>38</v>
      </c>
      <c r="B15" s="12"/>
      <c r="C15" s="13"/>
      <c r="D15" s="12"/>
      <c r="E15" s="13"/>
      <c r="F15" s="14"/>
      <c r="G15" s="15" cm="1">
        <f t="array" ref="G15">SUM(G18:G24)</f>
        <v>153574</v>
      </c>
    </row>
    <row r="16" ht="25.1" customHeight="1">
      <c r="A16" t="s" s="85">
        <v>39</v>
      </c>
      <c r="B16" s="17">
        <v>3</v>
      </c>
      <c r="C16" s="18">
        <v>2556</v>
      </c>
      <c r="D16" s="17">
        <v>1</v>
      </c>
      <c r="E16" s="18" cm="1">
        <f t="array" ref="E16">B16*C16*D16</f>
        <v>7668</v>
      </c>
      <c r="F16" s="19"/>
      <c r="G16" s="86">
        <v>0</v>
      </c>
    </row>
    <row r="17" ht="25.1" customHeight="1">
      <c r="A17" t="s" s="85">
        <v>40</v>
      </c>
      <c r="B17" s="17">
        <v>3</v>
      </c>
      <c r="C17" s="18">
        <v>1000</v>
      </c>
      <c r="D17" s="17">
        <v>1</v>
      </c>
      <c r="E17" s="18"/>
      <c r="F17" s="19"/>
      <c r="G17" s="86" cm="1">
        <f t="array" ref="G17">E17+F17</f>
        <v>0</v>
      </c>
    </row>
    <row r="18" ht="25.1" customHeight="1">
      <c r="A18" t="s" s="16">
        <v>41</v>
      </c>
      <c r="B18" s="17">
        <v>60</v>
      </c>
      <c r="C18" s="18">
        <v>1139</v>
      </c>
      <c r="D18" s="17">
        <v>1</v>
      </c>
      <c r="E18" s="18" cm="1">
        <f t="array" ref="E18">B18*C18*D18</f>
        <v>68340</v>
      </c>
      <c r="F18" s="19" cm="1">
        <f t="array" ref="F18">E18*0.1</f>
        <v>6834</v>
      </c>
      <c r="G18" s="20" cm="1">
        <f t="array" ref="G18">E18+F18</f>
        <v>75174</v>
      </c>
    </row>
    <row r="19" ht="23.9" customHeight="1">
      <c r="A19" t="s" s="16">
        <v>10</v>
      </c>
      <c r="B19" s="17">
        <v>60</v>
      </c>
      <c r="C19" s="18">
        <v>130</v>
      </c>
      <c r="D19" s="17">
        <v>1</v>
      </c>
      <c r="E19" s="18" cm="1">
        <f t="array" ref="E19">B19*C19*D19</f>
        <v>7800</v>
      </c>
      <c r="F19" s="19" cm="1">
        <f t="array" ref="F19">E19*0.1</f>
        <v>780</v>
      </c>
      <c r="G19" s="20" cm="1">
        <f t="array" ref="G19">E19+F19</f>
        <v>8580</v>
      </c>
    </row>
    <row r="20" ht="27.9" customHeight="1">
      <c r="A20" t="s" s="16">
        <v>42</v>
      </c>
      <c r="B20" s="17">
        <v>60</v>
      </c>
      <c r="C20" s="18">
        <v>150</v>
      </c>
      <c r="D20" s="17">
        <v>1</v>
      </c>
      <c r="E20" s="18" cm="1">
        <f t="array" ref="E20">B20*C20*D20</f>
        <v>9000</v>
      </c>
      <c r="F20" s="19" cm="1">
        <f t="array" ref="F20">E20*0.1</f>
        <v>900</v>
      </c>
      <c r="G20" s="20" cm="1">
        <f t="array" ref="G20">E20+F20</f>
        <v>9900</v>
      </c>
    </row>
    <row r="21" ht="24.7" customHeight="1">
      <c r="A21" t="s" s="16">
        <v>43</v>
      </c>
      <c r="B21" s="17">
        <v>60</v>
      </c>
      <c r="C21" s="18">
        <v>120</v>
      </c>
      <c r="D21" s="17">
        <v>1</v>
      </c>
      <c r="E21" s="18" cm="1">
        <f t="array" ref="E21">B21*C21*D21</f>
        <v>7200</v>
      </c>
      <c r="F21" s="19" cm="1">
        <f t="array" ref="F21">E21*0.1</f>
        <v>720</v>
      </c>
      <c r="G21" s="20" cm="1">
        <f t="array" ref="G21">E21+F21</f>
        <v>7920</v>
      </c>
    </row>
    <row r="22" ht="20.75" customHeight="1">
      <c r="A22" t="s" s="87">
        <v>44</v>
      </c>
      <c r="B22" s="17">
        <v>2</v>
      </c>
      <c r="C22" s="18">
        <v>7000</v>
      </c>
      <c r="D22" s="17">
        <v>1</v>
      </c>
      <c r="E22" s="18" cm="1">
        <f t="array" ref="E22">B22*C22*D22</f>
        <v>14000</v>
      </c>
      <c r="F22" s="19"/>
      <c r="G22" s="20" cm="1">
        <f t="array" ref="G22">E22+F22</f>
        <v>14000</v>
      </c>
    </row>
    <row r="23" ht="24.7" customHeight="1">
      <c r="A23" t="s" s="16">
        <v>45</v>
      </c>
      <c r="B23" s="17">
        <v>4</v>
      </c>
      <c r="C23" s="18">
        <v>5000</v>
      </c>
      <c r="D23" s="17">
        <v>1</v>
      </c>
      <c r="E23" s="18" cm="1">
        <f t="array" ref="E23">B23*C23*D23</f>
        <v>20000</v>
      </c>
      <c r="F23" s="19"/>
      <c r="G23" s="20" cm="1">
        <f t="array" ref="G23">E23+F23</f>
        <v>20000</v>
      </c>
    </row>
    <row r="24" ht="24.7" customHeight="1">
      <c r="A24" t="s" s="21">
        <v>46</v>
      </c>
      <c r="B24" s="22">
        <v>1</v>
      </c>
      <c r="C24" s="23">
        <v>18000</v>
      </c>
      <c r="D24" s="22">
        <v>1</v>
      </c>
      <c r="E24" s="23" cm="1">
        <f t="array" ref="E24">C24*B24</f>
        <v>18000</v>
      </c>
      <c r="F24" s="24"/>
      <c r="G24" s="25" cm="1">
        <f t="array" ref="G24">E24+F24</f>
        <v>18000</v>
      </c>
    </row>
    <row r="25" ht="24.7" customHeight="1">
      <c r="A25" s="26"/>
      <c r="B25" s="27"/>
      <c r="C25" s="28"/>
      <c r="D25" s="27"/>
      <c r="E25" s="28"/>
      <c r="F25" s="29"/>
      <c r="G25" s="30"/>
    </row>
    <row r="26" ht="42.75" customHeight="1">
      <c r="A26" t="s" s="11">
        <v>47</v>
      </c>
      <c r="B26" s="12"/>
      <c r="C26" s="13"/>
      <c r="D26" s="12"/>
      <c r="E26" s="13"/>
      <c r="F26" s="14"/>
      <c r="G26" s="15" cm="1">
        <f t="array" ref="G26">SUM(G28:G35)</f>
        <v>219174</v>
      </c>
    </row>
    <row r="27" ht="32.5" customHeight="1">
      <c r="A27" t="s" s="85">
        <v>39</v>
      </c>
      <c r="B27" s="17">
        <v>3</v>
      </c>
      <c r="C27" s="18">
        <v>2690</v>
      </c>
      <c r="D27" s="17">
        <v>1</v>
      </c>
      <c r="E27" s="18" cm="1">
        <f t="array" ref="E27">B27*C27*D27</f>
        <v>8070</v>
      </c>
      <c r="F27" s="19"/>
      <c r="G27" s="86">
        <v>0</v>
      </c>
    </row>
    <row r="28" ht="32.5" customHeight="1">
      <c r="A28" t="s" s="85">
        <v>40</v>
      </c>
      <c r="B28" s="17">
        <v>3</v>
      </c>
      <c r="C28" s="18">
        <v>1000</v>
      </c>
      <c r="D28" s="17">
        <v>1</v>
      </c>
      <c r="E28" s="18" cm="1">
        <f t="array" ref="E28">B28*C28*D28</f>
        <v>3000</v>
      </c>
      <c r="F28" s="19"/>
      <c r="G28" s="86">
        <v>0</v>
      </c>
    </row>
    <row r="29" ht="32.5" customHeight="1">
      <c r="A29" t="s" s="16">
        <v>41</v>
      </c>
      <c r="B29" s="17">
        <v>60</v>
      </c>
      <c r="C29" s="18">
        <v>1150</v>
      </c>
      <c r="D29" s="17">
        <v>1</v>
      </c>
      <c r="E29" s="18" cm="1">
        <f t="array" ref="E29">B29*C29*D29</f>
        <v>69000</v>
      </c>
      <c r="F29" s="19" cm="1">
        <f t="array" ref="F29">E29*0.1</f>
        <v>6900</v>
      </c>
      <c r="G29" s="20" cm="1">
        <f t="array" ref="G29">E29+F29</f>
        <v>75900</v>
      </c>
    </row>
    <row r="30" ht="29.25" customHeight="1">
      <c r="A30" t="s" s="16">
        <v>10</v>
      </c>
      <c r="B30" s="17">
        <v>60</v>
      </c>
      <c r="C30" s="18">
        <v>200</v>
      </c>
      <c r="D30" s="17">
        <v>1</v>
      </c>
      <c r="E30" s="18" cm="1">
        <f t="array" ref="E30">B30*C30*D30</f>
        <v>12000</v>
      </c>
      <c r="F30" s="19" cm="1">
        <f t="array" ref="F30">E30*0.1</f>
        <v>1200</v>
      </c>
      <c r="G30" s="20" cm="1">
        <f t="array" ref="G30">E30+F30</f>
        <v>13200</v>
      </c>
    </row>
    <row r="31" ht="31.2" customHeight="1">
      <c r="A31" t="s" s="16">
        <v>42</v>
      </c>
      <c r="B31" s="17">
        <v>60</v>
      </c>
      <c r="C31" s="18">
        <v>219</v>
      </c>
      <c r="D31" s="17">
        <v>1</v>
      </c>
      <c r="E31" s="18" cm="1">
        <f t="array" ref="E31">B31*C31*D31</f>
        <v>13140</v>
      </c>
      <c r="F31" s="19" cm="1">
        <f t="array" ref="F31">E31*0.1</f>
        <v>1314</v>
      </c>
      <c r="G31" s="20" cm="1">
        <f t="array" ref="G31">E31+F31</f>
        <v>14454</v>
      </c>
    </row>
    <row r="32" ht="24.7" customHeight="1">
      <c r="A32" t="s" s="16">
        <v>43</v>
      </c>
      <c r="B32" s="17">
        <v>60</v>
      </c>
      <c r="C32" s="18">
        <v>120</v>
      </c>
      <c r="D32" s="17">
        <v>1</v>
      </c>
      <c r="E32" s="18" cm="1">
        <f t="array" ref="E32">B32*C32*D32</f>
        <v>7200</v>
      </c>
      <c r="F32" s="19" cm="1">
        <f t="array" ref="F32">E32*0.1</f>
        <v>720</v>
      </c>
      <c r="G32" s="20" cm="1">
        <f t="array" ref="G32">E32+F32</f>
        <v>7920</v>
      </c>
    </row>
    <row r="33" ht="24.7" customHeight="1">
      <c r="A33" t="s" s="87">
        <v>44</v>
      </c>
      <c r="B33" s="17">
        <v>2</v>
      </c>
      <c r="C33" s="18">
        <v>7000</v>
      </c>
      <c r="D33" s="17">
        <v>1</v>
      </c>
      <c r="E33" s="18" cm="1">
        <f t="array" ref="E33">B33*C33*D33</f>
        <v>14000</v>
      </c>
      <c r="F33" s="19"/>
      <c r="G33" s="20" cm="1">
        <f t="array" ref="G33">E33+F33</f>
        <v>14000</v>
      </c>
    </row>
    <row r="34" ht="24.7" customHeight="1">
      <c r="A34" t="s" s="16">
        <v>45</v>
      </c>
      <c r="B34" s="17">
        <v>4</v>
      </c>
      <c r="C34" s="18">
        <v>5000</v>
      </c>
      <c r="D34" s="17">
        <v>1</v>
      </c>
      <c r="E34" s="18" cm="1">
        <f t="array" ref="E34">B34*C34*D34</f>
        <v>20000</v>
      </c>
      <c r="F34" s="19"/>
      <c r="G34" s="20" cm="1">
        <f t="array" ref="G34">E34+F34</f>
        <v>20000</v>
      </c>
    </row>
    <row r="35" ht="24.7" customHeight="1">
      <c r="A35" t="s" s="21">
        <v>46</v>
      </c>
      <c r="B35" s="22">
        <v>1</v>
      </c>
      <c r="C35" s="23">
        <v>67000</v>
      </c>
      <c r="D35" s="22">
        <v>1</v>
      </c>
      <c r="E35" s="23" cm="1">
        <f t="array" ref="E35">C35*B35</f>
        <v>67000</v>
      </c>
      <c r="F35" s="24" cm="1">
        <f t="array" ref="F35">E35*0.1</f>
        <v>6700</v>
      </c>
      <c r="G35" s="25" cm="1">
        <f t="array" ref="G35">E35+F35</f>
        <v>73700</v>
      </c>
    </row>
    <row r="36" ht="24.7" customHeight="1">
      <c r="A36" s="26"/>
      <c r="B36" s="27"/>
      <c r="C36" s="28"/>
      <c r="D36" s="27"/>
      <c r="E36" s="28"/>
      <c r="F36" s="29"/>
      <c r="G36" s="30"/>
    </row>
    <row r="37" ht="43.9" customHeight="1">
      <c r="A37" t="s" s="11">
        <v>48</v>
      </c>
      <c r="B37" s="12"/>
      <c r="C37" s="13"/>
      <c r="D37" s="12"/>
      <c r="E37" s="13"/>
      <c r="F37" s="14"/>
      <c r="G37" s="15" cm="1">
        <f t="array" ref="G37">SUM(G39:G46)</f>
        <v>221660</v>
      </c>
    </row>
    <row r="38" ht="36.35" customHeight="1">
      <c r="A38" t="s" s="85">
        <v>39</v>
      </c>
      <c r="B38" s="17">
        <v>3</v>
      </c>
      <c r="C38" s="18">
        <v>2500</v>
      </c>
      <c r="D38" s="17">
        <v>1</v>
      </c>
      <c r="E38" s="18" cm="1">
        <f t="array" ref="E38">B38*C38*D38</f>
        <v>7500</v>
      </c>
      <c r="F38" s="19"/>
      <c r="G38" s="86">
        <v>0</v>
      </c>
    </row>
    <row r="39" ht="36.35" customHeight="1">
      <c r="A39" t="s" s="85">
        <v>40</v>
      </c>
      <c r="B39" s="17">
        <v>3</v>
      </c>
      <c r="C39" s="18">
        <v>1800</v>
      </c>
      <c r="D39" s="17">
        <v>1</v>
      </c>
      <c r="E39" s="18" cm="1">
        <f t="array" ref="E39">B39*C39*D39</f>
        <v>5400</v>
      </c>
      <c r="F39" s="19"/>
      <c r="G39" s="86">
        <v>0</v>
      </c>
    </row>
    <row r="40" ht="36.35" customHeight="1">
      <c r="A40" t="s" s="16">
        <v>41</v>
      </c>
      <c r="B40" s="17">
        <v>60</v>
      </c>
      <c r="C40" s="18">
        <v>1140</v>
      </c>
      <c r="D40" s="17">
        <v>1</v>
      </c>
      <c r="E40" s="18" cm="1">
        <f t="array" ref="E40">B40*C40*D40</f>
        <v>68400</v>
      </c>
      <c r="F40" s="19" cm="1">
        <f t="array" ref="F40">E40*0.1</f>
        <v>6840</v>
      </c>
      <c r="G40" s="20" cm="1">
        <f t="array" ref="G40">E40+F40</f>
        <v>75240</v>
      </c>
    </row>
    <row r="41" ht="27.2" customHeight="1">
      <c r="A41" t="s" s="16">
        <v>10</v>
      </c>
      <c r="B41" s="17">
        <v>60</v>
      </c>
      <c r="C41" s="18">
        <v>130</v>
      </c>
      <c r="D41" s="17">
        <v>1</v>
      </c>
      <c r="E41" s="18" cm="1">
        <f t="array" ref="E41">B41*C41*D41</f>
        <v>7800</v>
      </c>
      <c r="F41" s="19" cm="1">
        <f t="array" ref="F41">E41*0.1</f>
        <v>780</v>
      </c>
      <c r="G41" s="20" cm="1">
        <f t="array" ref="G41">E41+F41</f>
        <v>8580</v>
      </c>
    </row>
    <row r="42" ht="25.2" customHeight="1">
      <c r="A42" t="s" s="16">
        <v>42</v>
      </c>
      <c r="B42" s="17">
        <v>60</v>
      </c>
      <c r="C42" s="18">
        <v>150</v>
      </c>
      <c r="D42" s="17">
        <v>1</v>
      </c>
      <c r="E42" s="18" cm="1">
        <f t="array" ref="E42">B42*C42*D42</f>
        <v>9000</v>
      </c>
      <c r="F42" s="19" cm="1">
        <f t="array" ref="F42">E42*0.1</f>
        <v>900</v>
      </c>
      <c r="G42" s="20" cm="1">
        <f t="array" ref="G42">E42+F42</f>
        <v>9900</v>
      </c>
    </row>
    <row r="43" ht="24.7" customHeight="1">
      <c r="A43" t="s" s="16">
        <v>43</v>
      </c>
      <c r="B43" s="17">
        <v>60</v>
      </c>
      <c r="C43" s="18">
        <v>90</v>
      </c>
      <c r="D43" s="17">
        <v>1</v>
      </c>
      <c r="E43" s="18" cm="1">
        <f t="array" ref="E43">B43*C43*D43</f>
        <v>5400</v>
      </c>
      <c r="F43" s="19" cm="1">
        <f t="array" ref="F43">E43*0.1</f>
        <v>540</v>
      </c>
      <c r="G43" s="20" cm="1">
        <f t="array" ref="G43">E43+F43</f>
        <v>5940</v>
      </c>
    </row>
    <row r="44" ht="24.7" customHeight="1">
      <c r="A44" t="s" s="87">
        <v>44</v>
      </c>
      <c r="B44" s="17">
        <v>2</v>
      </c>
      <c r="C44" s="18">
        <v>7000</v>
      </c>
      <c r="D44" s="17">
        <v>1</v>
      </c>
      <c r="E44" s="18" cm="1">
        <f t="array" ref="E44">B44*C44*D44</f>
        <v>14000</v>
      </c>
      <c r="F44" s="19"/>
      <c r="G44" s="20" cm="1">
        <f t="array" ref="G44">E44+F44</f>
        <v>14000</v>
      </c>
    </row>
    <row r="45" ht="24.7" customHeight="1">
      <c r="A45" t="s" s="16">
        <v>45</v>
      </c>
      <c r="B45" s="17">
        <v>4</v>
      </c>
      <c r="C45" s="18">
        <v>5000</v>
      </c>
      <c r="D45" s="17">
        <v>1</v>
      </c>
      <c r="E45" s="18" cm="1">
        <f t="array" ref="E45">B45*C45*D45</f>
        <v>20000</v>
      </c>
      <c r="F45" s="19"/>
      <c r="G45" s="20" cm="1">
        <f t="array" ref="G45">E45+F45</f>
        <v>20000</v>
      </c>
    </row>
    <row r="46" ht="24.7" customHeight="1">
      <c r="A46" t="s" s="21">
        <v>46</v>
      </c>
      <c r="B46" s="22">
        <v>1</v>
      </c>
      <c r="C46" s="23">
        <v>80000</v>
      </c>
      <c r="D46" s="22">
        <v>1</v>
      </c>
      <c r="E46" s="23" cm="1">
        <f t="array" ref="E46">C46*B46</f>
        <v>80000</v>
      </c>
      <c r="F46" s="24" cm="1">
        <f t="array" ref="F46">E46*0.1</f>
        <v>8000</v>
      </c>
      <c r="G46" s="25" cm="1">
        <f t="array" ref="G46">E46+F46</f>
        <v>88000</v>
      </c>
    </row>
    <row r="47" ht="24.7" customHeight="1">
      <c r="A47" s="88"/>
      <c r="B47" s="89"/>
      <c r="C47" s="90"/>
      <c r="D47" s="89"/>
      <c r="E47" s="90"/>
      <c r="F47" s="91"/>
      <c r="G47" s="92"/>
    </row>
    <row r="48" ht="47.45" customHeight="1">
      <c r="A48" t="s" s="93">
        <v>49</v>
      </c>
      <c r="B48" t="s" s="94">
        <v>50</v>
      </c>
      <c r="C48" s="95"/>
      <c r="D48" s="96" cm="1">
        <f t="array" ref="D48">SUM(G9:G11)</f>
        <v>87000</v>
      </c>
      <c r="E48" s="69"/>
      <c r="F48" s="69"/>
      <c r="G48" t="str" s="97" cm="1">
        <f t="array" ref="G48">G4</f>
        <v>CORTESIA</v>
      </c>
    </row>
    <row r="49" ht="47.45" customHeight="1">
      <c r="A49" t="s" s="71">
        <v>52</v>
      </c>
      <c r="B49" t="s" s="98">
        <v>50</v>
      </c>
      <c r="C49" s="95"/>
      <c r="D49" s="99" cm="1">
        <f t="array" ref="D49">SUM(G10:G12)</f>
        <v>97800</v>
      </c>
      <c r="E49" s="73"/>
      <c r="F49" s="74"/>
      <c r="G49" t="str" s="100" cm="1">
        <f t="array" ref="G49">G9</f>
        <v>CORTESIA</v>
      </c>
    </row>
    <row r="50" ht="47.45" customHeight="1">
      <c r="A50" t="s" s="65">
        <v>37</v>
      </c>
      <c r="B50" s="66"/>
      <c r="C50" s="66"/>
      <c r="D50" s="66"/>
      <c r="E50" s="66"/>
      <c r="F50" s="66"/>
      <c r="G50" s="67" cm="1">
        <f t="array" ref="G50">G14</f>
        <v>594408</v>
      </c>
    </row>
    <row r="51" ht="47.45" customHeight="1">
      <c r="A51" t="s" s="76">
        <v>26</v>
      </c>
      <c r="B51" t="s" s="101">
        <v>53</v>
      </c>
      <c r="C51" s="102"/>
      <c r="D51" s="103" cm="1">
        <f t="array" ref="D51">SUM(D48:D49)+E16+E27+E38+E28+E28+E39</f>
        <v>219438</v>
      </c>
      <c r="E51" s="77"/>
      <c r="F51" s="77"/>
      <c r="G51" s="78" cm="1">
        <f t="array" ref="G51">G50</f>
        <v>594408</v>
      </c>
    </row>
  </sheetData>
  <mergeCells count="4">
    <mergeCell ref="A1:G1"/>
    <mergeCell ref="B49:C49"/>
    <mergeCell ref="B48:C48"/>
    <mergeCell ref="B51:C5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I152"/>
  <sheetViews>
    <sheetView workbookViewId="0" showGridLines="0" defaultGridColor="1">
      <pane topLeftCell="B4" xSplit="1" ySplit="3" activePane="bottomRight" state="frozen"/>
    </sheetView>
  </sheetViews>
  <sheetFormatPr defaultColWidth="16.3333" defaultRowHeight="19.9" customHeight="1" outlineLevelRow="0" outlineLevelCol="0"/>
  <cols>
    <col min="1" max="1" width="78.8828" style="104" customWidth="1"/>
    <col min="2" max="2" width="13.9219" style="104" customWidth="1"/>
    <col min="3" max="3" width="13.8125" style="104" customWidth="1"/>
    <col min="4" max="4" width="12.5234" style="104" customWidth="1"/>
    <col min="5" max="5" width="12.8047" style="104" customWidth="1"/>
    <col min="6" max="6" width="11.8203" style="104" customWidth="1"/>
    <col min="7" max="7" width="19.2266" style="104" customWidth="1"/>
    <col min="8" max="8" width="13.3516" style="104" customWidth="1"/>
    <col min="9" max="9" width="19.2266" style="104" customWidth="1"/>
    <col min="10" max="16384" width="16.3516" style="104" customWidth="1"/>
  </cols>
  <sheetData>
    <row r="1" ht="81" customHeight="1">
      <c r="A1" t="s" s="105">
        <v>54</v>
      </c>
      <c r="B1" s="3"/>
      <c r="C1" s="3"/>
      <c r="D1" s="3"/>
      <c r="E1" s="3"/>
      <c r="F1" s="3"/>
      <c r="G1" s="4"/>
      <c r="H1" s="106"/>
      <c r="I1" s="105"/>
    </row>
    <row r="2" ht="18.3" customHeight="1">
      <c r="A2" s="107"/>
      <c r="B2" s="107"/>
      <c r="C2" s="107"/>
      <c r="D2" s="107"/>
      <c r="E2" s="107"/>
      <c r="F2" s="107"/>
      <c r="G2" s="107"/>
      <c r="H2" s="107"/>
      <c r="I2" s="107"/>
    </row>
    <row r="3" ht="47.8" customHeight="1">
      <c r="A3" s="108"/>
      <c r="B3" t="s" s="108">
        <v>1</v>
      </c>
      <c r="C3" t="s" s="108">
        <v>2</v>
      </c>
      <c r="D3" t="s" s="108">
        <v>3</v>
      </c>
      <c r="E3" t="s" s="108">
        <v>4</v>
      </c>
      <c r="F3" t="s" s="108">
        <v>5</v>
      </c>
      <c r="G3" t="s" s="108">
        <v>6</v>
      </c>
      <c r="H3" t="s" s="108">
        <v>55</v>
      </c>
      <c r="I3" t="s" s="108">
        <v>56</v>
      </c>
    </row>
    <row r="4" ht="52.3" customHeight="1">
      <c r="A4" t="s" s="109">
        <v>57</v>
      </c>
      <c r="B4" s="110"/>
      <c r="C4" s="110"/>
      <c r="D4" s="110"/>
      <c r="E4" s="110"/>
      <c r="F4" s="110"/>
      <c r="G4" s="111" cm="1">
        <f t="array" ref="G4">SUM(G5:G9)</f>
        <v>186600</v>
      </c>
      <c r="H4" s="112"/>
      <c r="I4" s="112"/>
    </row>
    <row r="5" ht="29.55" customHeight="1">
      <c r="A5" t="s" s="113">
        <v>58</v>
      </c>
      <c r="B5" s="114">
        <v>1</v>
      </c>
      <c r="C5" s="115"/>
      <c r="D5" s="114"/>
      <c r="E5" s="116"/>
      <c r="F5" s="117"/>
      <c r="G5" s="118" cm="1">
        <f t="array" ref="G5">E5+F5</f>
        <v>0</v>
      </c>
      <c r="H5" s="119"/>
      <c r="I5" s="119">
        <v>65000</v>
      </c>
    </row>
    <row r="6" ht="29.55" customHeight="1">
      <c r="A6" t="s" s="113">
        <v>59</v>
      </c>
      <c r="B6" s="114">
        <v>1</v>
      </c>
      <c r="C6" s="115"/>
      <c r="D6" s="114"/>
      <c r="E6" s="116"/>
      <c r="F6" s="117"/>
      <c r="G6" s="118" cm="1">
        <f t="array" ref="G6">E6+F6</f>
        <v>0</v>
      </c>
      <c r="H6" s="119"/>
      <c r="I6" s="119">
        <v>135000</v>
      </c>
    </row>
    <row r="7" ht="100.45" customHeight="1">
      <c r="A7" t="s" s="120">
        <v>60</v>
      </c>
      <c r="B7" s="114">
        <v>1</v>
      </c>
      <c r="C7" s="116">
        <v>43000</v>
      </c>
      <c r="D7" s="114">
        <v>1</v>
      </c>
      <c r="E7" s="116" cm="1">
        <f t="array" ref="E7">B7*C7*D7</f>
        <v>43000</v>
      </c>
      <c r="F7" s="117"/>
      <c r="G7" s="118" cm="1">
        <f t="array" ref="G7">E7+F7</f>
        <v>43000</v>
      </c>
      <c r="H7" s="119"/>
      <c r="I7" s="119"/>
    </row>
    <row r="8" ht="100.45" customHeight="1">
      <c r="A8" t="s" s="120">
        <v>61</v>
      </c>
      <c r="B8" s="114">
        <v>1</v>
      </c>
      <c r="C8" s="116">
        <v>73200</v>
      </c>
      <c r="D8" s="114">
        <v>1</v>
      </c>
      <c r="E8" s="116" cm="1">
        <f t="array" ref="E8">B8*C8*D8</f>
        <v>73200</v>
      </c>
      <c r="F8" s="117"/>
      <c r="G8" s="118" cm="1">
        <f t="array" ref="G8">E8+F8</f>
        <v>73200</v>
      </c>
      <c r="H8" s="119"/>
      <c r="I8" s="119"/>
    </row>
    <row r="9" ht="20.95" customHeight="1">
      <c r="A9" t="s" s="121">
        <v>62</v>
      </c>
      <c r="B9" s="122">
        <v>400</v>
      </c>
      <c r="C9" s="123">
        <v>160</v>
      </c>
      <c r="D9" s="122">
        <v>1</v>
      </c>
      <c r="E9" s="123" cm="1">
        <f t="array" ref="E9">B9*C9*D9</f>
        <v>64000</v>
      </c>
      <c r="F9" s="124" cm="1">
        <f t="array" ref="F9">E9*0.1</f>
        <v>6400</v>
      </c>
      <c r="G9" s="125" cm="1">
        <f t="array" ref="G9">E9+F9</f>
        <v>70400</v>
      </c>
      <c r="H9" s="126"/>
      <c r="I9" s="126"/>
    </row>
    <row r="10" ht="28" customHeight="1">
      <c r="A10" s="127"/>
      <c r="B10" s="128"/>
      <c r="C10" s="129"/>
      <c r="D10" s="128"/>
      <c r="E10" s="129"/>
      <c r="F10" s="127"/>
      <c r="G10" s="129"/>
      <c r="H10" s="129"/>
      <c r="I10" s="129"/>
    </row>
    <row r="11" ht="57.15" customHeight="1">
      <c r="A11" t="s" s="130">
        <v>63</v>
      </c>
      <c r="B11" s="131"/>
      <c r="C11" s="132"/>
      <c r="D11" s="131"/>
      <c r="E11" s="132"/>
      <c r="F11" s="133"/>
      <c r="G11" s="134" cm="1">
        <f t="array" ref="G11">SUM(G12:G35)</f>
        <v>359200</v>
      </c>
      <c r="H11" s="135"/>
      <c r="I11" s="135"/>
    </row>
    <row r="12" ht="21.4" customHeight="1">
      <c r="A12" t="s" s="136">
        <v>64</v>
      </c>
      <c r="B12" s="114"/>
      <c r="C12" s="116"/>
      <c r="D12" s="114"/>
      <c r="E12" s="116"/>
      <c r="F12" s="117"/>
      <c r="G12" s="137"/>
      <c r="H12" s="138"/>
      <c r="I12" s="138"/>
    </row>
    <row r="13" ht="21.4" customHeight="1">
      <c r="A13" t="s" s="139">
        <v>65</v>
      </c>
      <c r="B13" s="114">
        <v>2</v>
      </c>
      <c r="C13" s="116">
        <v>26000</v>
      </c>
      <c r="D13" s="114">
        <v>1</v>
      </c>
      <c r="E13" s="116" cm="1">
        <f t="array" ref="E13">B13*C13*D13</f>
        <v>52000</v>
      </c>
      <c r="F13" s="117"/>
      <c r="G13" s="137" cm="1">
        <f t="array" ref="G13">E13+F13</f>
        <v>52000</v>
      </c>
      <c r="H13" s="138"/>
      <c r="I13" s="138"/>
    </row>
    <row r="14" ht="21.4" customHeight="1">
      <c r="A14" t="s" s="136">
        <v>66</v>
      </c>
      <c r="B14" s="114"/>
      <c r="C14" s="116"/>
      <c r="D14" s="114"/>
      <c r="E14" s="116"/>
      <c r="F14" s="117"/>
      <c r="G14" s="137"/>
      <c r="H14" s="138"/>
      <c r="I14" s="138"/>
    </row>
    <row r="15" ht="33.05" customHeight="1">
      <c r="A15" t="s" s="139">
        <v>67</v>
      </c>
      <c r="B15" s="114">
        <v>8</v>
      </c>
      <c r="C15" s="116">
        <v>1350</v>
      </c>
      <c r="D15" s="114">
        <v>1</v>
      </c>
      <c r="E15" s="116" cm="1">
        <f t="array" ref="E15">B15*C15*D15</f>
        <v>10800</v>
      </c>
      <c r="F15" s="117"/>
      <c r="G15" s="137" cm="1">
        <f t="array" ref="G15">E15+F15</f>
        <v>10800</v>
      </c>
      <c r="H15" s="138"/>
      <c r="I15" s="138"/>
    </row>
    <row r="16" ht="21.4" customHeight="1">
      <c r="A16" t="s" s="136">
        <v>68</v>
      </c>
      <c r="B16" s="114"/>
      <c r="C16" s="116"/>
      <c r="D16" s="114"/>
      <c r="E16" s="116"/>
      <c r="F16" s="117"/>
      <c r="G16" s="137"/>
      <c r="H16" s="138"/>
      <c r="I16" s="138"/>
    </row>
    <row r="17" ht="21.4" customHeight="1">
      <c r="A17" t="s" s="139">
        <v>69</v>
      </c>
      <c r="B17" s="114">
        <v>2</v>
      </c>
      <c r="C17" s="116">
        <v>26000</v>
      </c>
      <c r="D17" s="114">
        <v>1</v>
      </c>
      <c r="E17" s="116" cm="1">
        <f t="array" ref="E17">B17*C17*D17</f>
        <v>52000</v>
      </c>
      <c r="F17" s="117"/>
      <c r="G17" s="137" cm="1">
        <f t="array" ref="G17">E17+F17</f>
        <v>52000</v>
      </c>
      <c r="H17" s="138"/>
      <c r="I17" s="138"/>
    </row>
    <row r="18" ht="21.4" customHeight="1">
      <c r="A18" t="s" s="139">
        <v>70</v>
      </c>
      <c r="B18" s="114">
        <v>1</v>
      </c>
      <c r="C18" s="116">
        <v>17000</v>
      </c>
      <c r="D18" s="114">
        <v>1</v>
      </c>
      <c r="E18" s="116" cm="1">
        <f t="array" ref="E18">B18*C18*D18</f>
        <v>17000</v>
      </c>
      <c r="F18" s="117"/>
      <c r="G18" s="137" cm="1">
        <f t="array" ref="G18">E18+F18</f>
        <v>17000</v>
      </c>
      <c r="H18" s="138"/>
      <c r="I18" s="138"/>
    </row>
    <row r="19" ht="21.4" customHeight="1">
      <c r="A19" t="s" s="139">
        <v>71</v>
      </c>
      <c r="B19" s="114">
        <v>2</v>
      </c>
      <c r="C19" s="116">
        <v>1350</v>
      </c>
      <c r="D19" s="114">
        <v>1</v>
      </c>
      <c r="E19" s="116" cm="1">
        <f t="array" ref="E19">B19*C19*D19</f>
        <v>2700</v>
      </c>
      <c r="F19" s="117"/>
      <c r="G19" s="137" cm="1">
        <f t="array" ref="G19">E19+F19</f>
        <v>2700</v>
      </c>
      <c r="H19" s="138"/>
      <c r="I19" s="138"/>
    </row>
    <row r="20" ht="21.4" customHeight="1">
      <c r="A20" t="s" s="139">
        <v>72</v>
      </c>
      <c r="B20" s="114">
        <v>2</v>
      </c>
      <c r="C20" s="116">
        <v>1200</v>
      </c>
      <c r="D20" s="114">
        <v>1</v>
      </c>
      <c r="E20" s="116" cm="1">
        <f t="array" ref="E20">B20*C20*D20</f>
        <v>2400</v>
      </c>
      <c r="F20" s="117"/>
      <c r="G20" s="137" cm="1">
        <f t="array" ref="G20">E20+F20</f>
        <v>2400</v>
      </c>
      <c r="H20" s="138"/>
      <c r="I20" s="138"/>
    </row>
    <row r="21" ht="21.4" customHeight="1">
      <c r="A21" t="s" s="136">
        <v>73</v>
      </c>
      <c r="B21" s="114"/>
      <c r="C21" s="116"/>
      <c r="D21" s="114"/>
      <c r="E21" s="116"/>
      <c r="F21" s="117"/>
      <c r="G21" s="137"/>
      <c r="H21" s="138"/>
      <c r="I21" s="138"/>
    </row>
    <row r="22" ht="21.4" customHeight="1">
      <c r="A22" t="s" s="139">
        <v>69</v>
      </c>
      <c r="B22" s="114">
        <v>2</v>
      </c>
      <c r="C22" s="116">
        <v>26000</v>
      </c>
      <c r="D22" s="114">
        <v>1</v>
      </c>
      <c r="E22" s="116" cm="1">
        <f t="array" ref="E22">B22*C22*D22</f>
        <v>52000</v>
      </c>
      <c r="F22" s="117"/>
      <c r="G22" s="137" cm="1">
        <f t="array" ref="G22">E22+F22</f>
        <v>52000</v>
      </c>
      <c r="H22" s="138"/>
      <c r="I22" s="138"/>
    </row>
    <row r="23" ht="21.4" customHeight="1">
      <c r="A23" t="s" s="139">
        <v>70</v>
      </c>
      <c r="B23" s="114">
        <v>1</v>
      </c>
      <c r="C23" s="116">
        <v>17000</v>
      </c>
      <c r="D23" s="114">
        <v>1</v>
      </c>
      <c r="E23" s="116" cm="1">
        <f t="array" ref="E23">B23*C23*D23</f>
        <v>17000</v>
      </c>
      <c r="F23" s="117"/>
      <c r="G23" s="137" cm="1">
        <f t="array" ref="G23">E23+F23</f>
        <v>17000</v>
      </c>
      <c r="H23" s="138"/>
      <c r="I23" s="138"/>
    </row>
    <row r="24" ht="21.4" customHeight="1">
      <c r="A24" t="s" s="139">
        <v>71</v>
      </c>
      <c r="B24" s="114">
        <v>2</v>
      </c>
      <c r="C24" s="116">
        <v>1350</v>
      </c>
      <c r="D24" s="114">
        <v>1</v>
      </c>
      <c r="E24" s="116" cm="1">
        <f t="array" ref="E24">B24*C24*D24</f>
        <v>2700</v>
      </c>
      <c r="F24" s="117"/>
      <c r="G24" s="137" cm="1">
        <f t="array" ref="G24">E24+F24</f>
        <v>2700</v>
      </c>
      <c r="H24" s="138"/>
      <c r="I24" s="138"/>
    </row>
    <row r="25" ht="21.4" customHeight="1">
      <c r="A25" t="s" s="139">
        <v>72</v>
      </c>
      <c r="B25" s="114">
        <v>2</v>
      </c>
      <c r="C25" s="116">
        <v>1200</v>
      </c>
      <c r="D25" s="114">
        <v>1</v>
      </c>
      <c r="E25" s="116" cm="1">
        <f t="array" ref="E25">B25*C25*D25</f>
        <v>2400</v>
      </c>
      <c r="F25" s="117"/>
      <c r="G25" s="137" cm="1">
        <f t="array" ref="G25">E25+F25</f>
        <v>2400</v>
      </c>
      <c r="H25" s="138"/>
      <c r="I25" s="138"/>
    </row>
    <row r="26" ht="21.4" customHeight="1">
      <c r="A26" t="s" s="136">
        <v>74</v>
      </c>
      <c r="B26" s="114"/>
      <c r="C26" s="116"/>
      <c r="D26" s="114"/>
      <c r="E26" s="116"/>
      <c r="F26" s="117"/>
      <c r="G26" s="137"/>
      <c r="H26" s="138"/>
      <c r="I26" s="138"/>
    </row>
    <row r="27" ht="21.4" customHeight="1">
      <c r="A27" t="s" s="139">
        <v>69</v>
      </c>
      <c r="B27" s="114">
        <v>2</v>
      </c>
      <c r="C27" s="116">
        <v>26000</v>
      </c>
      <c r="D27" s="114">
        <v>1</v>
      </c>
      <c r="E27" s="116" cm="1">
        <f t="array" ref="E27">B27*C27*D27</f>
        <v>52000</v>
      </c>
      <c r="F27" s="117"/>
      <c r="G27" s="137" cm="1">
        <f t="array" ref="G27">E27+F27</f>
        <v>52000</v>
      </c>
      <c r="H27" s="138"/>
      <c r="I27" s="138"/>
    </row>
    <row r="28" ht="21.4" customHeight="1">
      <c r="A28" t="s" s="139">
        <v>70</v>
      </c>
      <c r="B28" s="114">
        <v>1</v>
      </c>
      <c r="C28" s="116">
        <v>17000</v>
      </c>
      <c r="D28" s="114">
        <v>1</v>
      </c>
      <c r="E28" s="116" cm="1">
        <f t="array" ref="E28">B28*C28*D28</f>
        <v>17000</v>
      </c>
      <c r="F28" s="117"/>
      <c r="G28" s="137" cm="1">
        <f t="array" ref="G28">E28+F28</f>
        <v>17000</v>
      </c>
      <c r="H28" s="138"/>
      <c r="I28" s="138"/>
    </row>
    <row r="29" ht="21.4" customHeight="1">
      <c r="A29" t="s" s="139">
        <v>71</v>
      </c>
      <c r="B29" s="114">
        <v>2</v>
      </c>
      <c r="C29" s="116">
        <v>1350</v>
      </c>
      <c r="D29" s="114">
        <v>1</v>
      </c>
      <c r="E29" s="116" cm="1">
        <f t="array" ref="E29">B29*C29*D29</f>
        <v>2700</v>
      </c>
      <c r="F29" s="117"/>
      <c r="G29" s="137" cm="1">
        <f t="array" ref="G29">E29+F29</f>
        <v>2700</v>
      </c>
      <c r="H29" s="138"/>
      <c r="I29" s="138"/>
    </row>
    <row r="30" ht="21.4" customHeight="1">
      <c r="A30" t="s" s="139">
        <v>72</v>
      </c>
      <c r="B30" s="114">
        <v>2</v>
      </c>
      <c r="C30" s="116">
        <v>1200</v>
      </c>
      <c r="D30" s="114">
        <v>1</v>
      </c>
      <c r="E30" s="116" cm="1">
        <f t="array" ref="E30">B30*C30*D30</f>
        <v>2400</v>
      </c>
      <c r="F30" s="117"/>
      <c r="G30" s="137" cm="1">
        <f t="array" ref="G30">E30+F30</f>
        <v>2400</v>
      </c>
      <c r="H30" s="138"/>
      <c r="I30" s="138"/>
    </row>
    <row r="31" ht="21.4" customHeight="1">
      <c r="A31" t="s" s="136">
        <v>75</v>
      </c>
      <c r="B31" s="114"/>
      <c r="C31" s="116"/>
      <c r="D31" s="114"/>
      <c r="E31" s="116"/>
      <c r="F31" s="117"/>
      <c r="G31" s="137"/>
      <c r="H31" s="138"/>
      <c r="I31" s="138"/>
    </row>
    <row r="32" ht="21.4" customHeight="1">
      <c r="A32" t="s" s="139">
        <v>69</v>
      </c>
      <c r="B32" s="114">
        <v>2</v>
      </c>
      <c r="C32" s="116">
        <v>26000</v>
      </c>
      <c r="D32" s="114">
        <v>1</v>
      </c>
      <c r="E32" s="116" cm="1">
        <f t="array" ref="E32">B32*C32*D32</f>
        <v>52000</v>
      </c>
      <c r="F32" s="117"/>
      <c r="G32" s="137" cm="1">
        <f t="array" ref="G32">E32+F32</f>
        <v>52000</v>
      </c>
      <c r="H32" s="138"/>
      <c r="I32" s="138"/>
    </row>
    <row r="33" ht="21.4" customHeight="1">
      <c r="A33" t="s" s="139">
        <v>70</v>
      </c>
      <c r="B33" s="114">
        <v>1</v>
      </c>
      <c r="C33" s="116">
        <v>17000</v>
      </c>
      <c r="D33" s="114">
        <v>1</v>
      </c>
      <c r="E33" s="116" cm="1">
        <f t="array" ref="E33">B33*C33*D33</f>
        <v>17000</v>
      </c>
      <c r="F33" s="117"/>
      <c r="G33" s="137" cm="1">
        <f t="array" ref="G33">E33+F33</f>
        <v>17000</v>
      </c>
      <c r="H33" s="138"/>
      <c r="I33" s="138"/>
    </row>
    <row r="34" ht="21.4" customHeight="1">
      <c r="A34" t="s" s="139">
        <v>71</v>
      </c>
      <c r="B34" s="114">
        <v>2</v>
      </c>
      <c r="C34" s="116">
        <v>1350</v>
      </c>
      <c r="D34" s="114">
        <v>1</v>
      </c>
      <c r="E34" s="116" cm="1">
        <f t="array" ref="E34">B34*C34*D34</f>
        <v>2700</v>
      </c>
      <c r="F34" s="117"/>
      <c r="G34" s="137" cm="1">
        <f t="array" ref="G34">E34+F34</f>
        <v>2700</v>
      </c>
      <c r="H34" s="138"/>
      <c r="I34" s="138"/>
    </row>
    <row r="35" ht="36.6" customHeight="1">
      <c r="A35" t="s" s="140">
        <v>72</v>
      </c>
      <c r="B35" s="141">
        <v>2</v>
      </c>
      <c r="C35" s="142">
        <v>1200</v>
      </c>
      <c r="D35" s="141">
        <v>1</v>
      </c>
      <c r="E35" s="142" cm="1">
        <f t="array" ref="E35">B35*C35*D35</f>
        <v>2400</v>
      </c>
      <c r="F35" s="143"/>
      <c r="G35" s="144" cm="1">
        <f t="array" ref="G35">E35+F35</f>
        <v>2400</v>
      </c>
      <c r="H35" s="145"/>
      <c r="I35" s="145"/>
    </row>
    <row r="36" ht="28.5" customHeight="1">
      <c r="A36" s="146"/>
      <c r="B36" s="147"/>
      <c r="C36" s="146"/>
      <c r="D36" s="147"/>
      <c r="E36" s="146"/>
      <c r="F36" s="146"/>
      <c r="G36" s="146"/>
      <c r="H36" s="146"/>
      <c r="I36" s="146"/>
    </row>
    <row r="37" ht="50.9" customHeight="1">
      <c r="A37" t="s" s="148">
        <v>76</v>
      </c>
      <c r="B37" s="149"/>
      <c r="C37" s="150"/>
      <c r="D37" s="149"/>
      <c r="E37" s="150"/>
      <c r="F37" s="151"/>
      <c r="G37" s="152" cm="1">
        <f t="array" ref="G37">SUM(G39:G72)</f>
        <v>274450</v>
      </c>
      <c r="H37" s="153"/>
      <c r="I37" s="153" cm="1">
        <f t="array" ref="I37">G37*7</f>
        <v>1921150</v>
      </c>
    </row>
    <row r="38" ht="20.45" customHeight="1">
      <c r="A38" t="s" s="154">
        <v>77</v>
      </c>
      <c r="B38" s="155"/>
      <c r="C38" s="156"/>
      <c r="D38" s="155"/>
      <c r="E38" s="156"/>
      <c r="F38" s="157"/>
      <c r="G38" s="158"/>
      <c r="H38" s="159"/>
      <c r="I38" s="159"/>
    </row>
    <row r="39" ht="32" customHeight="1">
      <c r="A39" t="s" s="160">
        <v>78</v>
      </c>
      <c r="B39" s="114">
        <v>1</v>
      </c>
      <c r="C39" s="116">
        <v>82000</v>
      </c>
      <c r="D39" s="114">
        <v>1</v>
      </c>
      <c r="E39" s="116" cm="1">
        <f t="array" ref="E39">B39*C39*D39</f>
        <v>82000</v>
      </c>
      <c r="F39" s="117" cm="1">
        <f t="array" ref="F39">E39*0.1</f>
        <v>8200</v>
      </c>
      <c r="G39" s="161" cm="1">
        <f t="array" ref="G39">E39+F39</f>
        <v>90200</v>
      </c>
      <c r="H39" s="162"/>
      <c r="I39" s="162"/>
    </row>
    <row r="40" ht="32" customHeight="1">
      <c r="A40" t="s" s="160">
        <v>79</v>
      </c>
      <c r="B40" s="114">
        <v>1</v>
      </c>
      <c r="C40" s="116">
        <v>4900</v>
      </c>
      <c r="D40" s="114">
        <v>1</v>
      </c>
      <c r="E40" s="116" cm="1">
        <f t="array" ref="E40">B40*C40*D40</f>
        <v>4900</v>
      </c>
      <c r="F40" s="117" cm="1">
        <f t="array" ref="F40">E40*0.1</f>
        <v>490</v>
      </c>
      <c r="G40" s="161" cm="1">
        <f t="array" ref="G40">E40+F40</f>
        <v>5390</v>
      </c>
      <c r="H40" s="162"/>
      <c r="I40" s="162"/>
    </row>
    <row r="41" ht="18" customHeight="1">
      <c r="A41" t="s" s="160">
        <v>80</v>
      </c>
      <c r="B41" s="114">
        <v>1</v>
      </c>
      <c r="C41" s="116">
        <v>9100</v>
      </c>
      <c r="D41" s="114">
        <v>1</v>
      </c>
      <c r="E41" s="116" cm="1">
        <f t="array" ref="E41">B41*C41*D41</f>
        <v>9100</v>
      </c>
      <c r="F41" s="117" cm="1">
        <f t="array" ref="F41">E41*0.1</f>
        <v>910</v>
      </c>
      <c r="G41" s="161" cm="1">
        <f t="array" ref="G41">E41+F41</f>
        <v>10010</v>
      </c>
      <c r="H41" s="162"/>
      <c r="I41" s="162"/>
    </row>
    <row r="42" ht="18" customHeight="1">
      <c r="A42" t="s" s="160">
        <v>81</v>
      </c>
      <c r="B42" s="114">
        <v>1</v>
      </c>
      <c r="C42" s="116">
        <v>1600</v>
      </c>
      <c r="D42" s="114">
        <v>1</v>
      </c>
      <c r="E42" s="116" cm="1">
        <f t="array" ref="E42">B42*C42*D42</f>
        <v>1600</v>
      </c>
      <c r="F42" s="117" cm="1">
        <f t="array" ref="F42">E42*0.1</f>
        <v>160</v>
      </c>
      <c r="G42" s="161" cm="1">
        <f t="array" ref="G42">E42+F42</f>
        <v>1760</v>
      </c>
      <c r="H42" s="162"/>
      <c r="I42" s="162"/>
    </row>
    <row r="43" ht="18" customHeight="1">
      <c r="A43" t="s" s="160">
        <v>82</v>
      </c>
      <c r="B43" s="114">
        <v>1</v>
      </c>
      <c r="C43" s="116">
        <v>12100</v>
      </c>
      <c r="D43" s="114">
        <v>1</v>
      </c>
      <c r="E43" s="116" cm="1">
        <f t="array" ref="E43">B43*C43*D43</f>
        <v>12100</v>
      </c>
      <c r="F43" s="117" cm="1">
        <f t="array" ref="F43">E43*0.1</f>
        <v>1210</v>
      </c>
      <c r="G43" s="161" cm="1">
        <f t="array" ref="G43">E43+F43</f>
        <v>13310</v>
      </c>
      <c r="H43" s="162"/>
      <c r="I43" s="162"/>
    </row>
    <row r="44" ht="32" customHeight="1">
      <c r="A44" t="s" s="160">
        <v>83</v>
      </c>
      <c r="B44" s="114">
        <v>1</v>
      </c>
      <c r="C44" s="116">
        <v>9100</v>
      </c>
      <c r="D44" s="114">
        <v>1</v>
      </c>
      <c r="E44" s="116" cm="1">
        <f t="array" ref="E44">B44*C44*D44</f>
        <v>9100</v>
      </c>
      <c r="F44" s="117" cm="1">
        <f t="array" ref="F44">E44*0.1</f>
        <v>910</v>
      </c>
      <c r="G44" s="161" cm="1">
        <f t="array" ref="G44">E44+F44</f>
        <v>10010</v>
      </c>
      <c r="H44" s="162"/>
      <c r="I44" s="162"/>
    </row>
    <row r="45" ht="18" customHeight="1">
      <c r="A45" t="s" s="163">
        <v>84</v>
      </c>
      <c r="B45" s="164">
        <v>1</v>
      </c>
      <c r="C45" s="165">
        <v>4100</v>
      </c>
      <c r="D45" s="164">
        <v>1</v>
      </c>
      <c r="E45" s="165" cm="1">
        <f t="array" ref="E45">B45*C45*D45</f>
        <v>4100</v>
      </c>
      <c r="F45" s="166" cm="1">
        <f t="array" ref="F45">E45*0.1</f>
        <v>410</v>
      </c>
      <c r="G45" s="167" cm="1">
        <f t="array" ref="G45">E45+F45</f>
        <v>4510</v>
      </c>
      <c r="H45" s="168"/>
      <c r="I45" s="168"/>
    </row>
    <row r="46" ht="20.45" customHeight="1">
      <c r="A46" t="s" s="154">
        <v>68</v>
      </c>
      <c r="B46" s="155"/>
      <c r="C46" s="156"/>
      <c r="D46" s="155"/>
      <c r="E46" s="156"/>
      <c r="F46" s="157"/>
      <c r="G46" s="158"/>
      <c r="H46" s="159"/>
      <c r="I46" s="159"/>
    </row>
    <row r="47" ht="18" customHeight="1">
      <c r="A47" t="s" s="160">
        <v>85</v>
      </c>
      <c r="B47" s="114">
        <v>1</v>
      </c>
      <c r="C47" s="116">
        <v>3600</v>
      </c>
      <c r="D47" s="114">
        <v>1</v>
      </c>
      <c r="E47" s="116" cm="1">
        <f t="array" ref="E47">B47*C47*D47</f>
        <v>3600</v>
      </c>
      <c r="F47" s="117" cm="1">
        <f t="array" ref="F47">E47*0.1</f>
        <v>360</v>
      </c>
      <c r="G47" s="161" cm="1">
        <f t="array" ref="G47">E47+F47</f>
        <v>3960</v>
      </c>
      <c r="H47" s="162"/>
      <c r="I47" s="162"/>
    </row>
    <row r="48" ht="18" customHeight="1">
      <c r="A48" t="s" s="160">
        <v>86</v>
      </c>
      <c r="B48" s="114">
        <v>1</v>
      </c>
      <c r="C48" s="116">
        <v>3600</v>
      </c>
      <c r="D48" s="114">
        <v>1</v>
      </c>
      <c r="E48" s="116" cm="1">
        <f t="array" ref="E48">B48*C48*D48</f>
        <v>3600</v>
      </c>
      <c r="F48" s="117" cm="1">
        <f t="array" ref="F48">E48*0.1</f>
        <v>360</v>
      </c>
      <c r="G48" s="161" cm="1">
        <f t="array" ref="G48">E48+F48</f>
        <v>3960</v>
      </c>
      <c r="H48" s="162"/>
      <c r="I48" s="162"/>
    </row>
    <row r="49" ht="18" customHeight="1">
      <c r="A49" t="s" s="160">
        <v>87</v>
      </c>
      <c r="B49" s="114">
        <v>1</v>
      </c>
      <c r="C49" s="116">
        <v>6500</v>
      </c>
      <c r="D49" s="114">
        <v>1</v>
      </c>
      <c r="E49" s="116" cm="1">
        <f t="array" ref="E49">B49*C49*D49</f>
        <v>6500</v>
      </c>
      <c r="F49" s="117" cm="1">
        <f t="array" ref="F49">E49*0.1</f>
        <v>650</v>
      </c>
      <c r="G49" s="161" cm="1">
        <f t="array" ref="G49">E49+F49</f>
        <v>7150</v>
      </c>
      <c r="H49" s="162"/>
      <c r="I49" s="162"/>
    </row>
    <row r="50" ht="18" customHeight="1">
      <c r="A50" t="s" s="160">
        <v>70</v>
      </c>
      <c r="B50" s="114">
        <v>1</v>
      </c>
      <c r="C50" s="116">
        <v>12000</v>
      </c>
      <c r="D50" s="114">
        <v>1</v>
      </c>
      <c r="E50" s="116" cm="1">
        <f t="array" ref="E50">B50*C50*D50</f>
        <v>12000</v>
      </c>
      <c r="F50" s="117" cm="1">
        <f t="array" ref="F50">E50*0.1</f>
        <v>1200</v>
      </c>
      <c r="G50" s="161" cm="1">
        <f t="array" ref="G50">E50+F50</f>
        <v>13200</v>
      </c>
      <c r="H50" s="162"/>
      <c r="I50" s="162"/>
    </row>
    <row r="51" ht="18" customHeight="1">
      <c r="A51" t="s" s="160">
        <v>88</v>
      </c>
      <c r="B51" s="114">
        <v>2</v>
      </c>
      <c r="C51" s="116">
        <v>1700</v>
      </c>
      <c r="D51" s="114">
        <v>1</v>
      </c>
      <c r="E51" s="116" cm="1">
        <f t="array" ref="E51">B51*C51*D51</f>
        <v>3400</v>
      </c>
      <c r="F51" s="117" cm="1">
        <f t="array" ref="F51">E51*0.1</f>
        <v>340</v>
      </c>
      <c r="G51" s="161" cm="1">
        <f t="array" ref="G51">E51+F51</f>
        <v>3740</v>
      </c>
      <c r="H51" s="162"/>
      <c r="I51" s="162"/>
    </row>
    <row r="52" ht="18" customHeight="1">
      <c r="A52" t="s" s="163">
        <v>89</v>
      </c>
      <c r="B52" s="164">
        <v>1</v>
      </c>
      <c r="C52" s="165">
        <v>2500</v>
      </c>
      <c r="D52" s="164">
        <v>1</v>
      </c>
      <c r="E52" s="165" cm="1">
        <f t="array" ref="E52">B52*C52*D52</f>
        <v>2500</v>
      </c>
      <c r="F52" s="166" cm="1">
        <f t="array" ref="F52">E52*0.1</f>
        <v>250</v>
      </c>
      <c r="G52" s="167" cm="1">
        <f t="array" ref="G52">E52+F52</f>
        <v>2750</v>
      </c>
      <c r="H52" s="168"/>
      <c r="I52" s="168"/>
    </row>
    <row r="53" ht="20.45" customHeight="1">
      <c r="A53" t="s" s="154">
        <v>73</v>
      </c>
      <c r="B53" s="155"/>
      <c r="C53" s="156"/>
      <c r="D53" s="155"/>
      <c r="E53" s="156"/>
      <c r="F53" s="157"/>
      <c r="G53" s="158"/>
      <c r="H53" s="159"/>
      <c r="I53" s="159"/>
    </row>
    <row r="54" ht="18" customHeight="1">
      <c r="A54" t="s" s="160">
        <v>85</v>
      </c>
      <c r="B54" s="114">
        <v>1</v>
      </c>
      <c r="C54" s="116">
        <v>3600</v>
      </c>
      <c r="D54" s="114">
        <v>1</v>
      </c>
      <c r="E54" s="116" cm="1">
        <f t="array" ref="E54">B54*C54*D54</f>
        <v>3600</v>
      </c>
      <c r="F54" s="117" cm="1">
        <f t="array" ref="F54">E54*0.1</f>
        <v>360</v>
      </c>
      <c r="G54" s="161" cm="1">
        <f t="array" ref="G54">E54+F54</f>
        <v>3960</v>
      </c>
      <c r="H54" s="162"/>
      <c r="I54" s="162"/>
    </row>
    <row r="55" ht="18" customHeight="1">
      <c r="A55" t="s" s="160">
        <v>86</v>
      </c>
      <c r="B55" s="114">
        <v>1</v>
      </c>
      <c r="C55" s="116">
        <v>3600</v>
      </c>
      <c r="D55" s="114">
        <v>1</v>
      </c>
      <c r="E55" s="116" cm="1">
        <f t="array" ref="E55">B55*C55*D55</f>
        <v>3600</v>
      </c>
      <c r="F55" s="117" cm="1">
        <f t="array" ref="F55">E55*0.1</f>
        <v>360</v>
      </c>
      <c r="G55" s="161" cm="1">
        <f t="array" ref="G55">E55+F55</f>
        <v>3960</v>
      </c>
      <c r="H55" s="162"/>
      <c r="I55" s="162"/>
    </row>
    <row r="56" ht="18" customHeight="1">
      <c r="A56" t="s" s="160">
        <v>87</v>
      </c>
      <c r="B56" s="114">
        <v>1</v>
      </c>
      <c r="C56" s="116">
        <v>6500</v>
      </c>
      <c r="D56" s="114">
        <v>1</v>
      </c>
      <c r="E56" s="116" cm="1">
        <f t="array" ref="E56">B56*C56*D56</f>
        <v>6500</v>
      </c>
      <c r="F56" s="117" cm="1">
        <f t="array" ref="F56">E56*0.1</f>
        <v>650</v>
      </c>
      <c r="G56" s="161" cm="1">
        <f t="array" ref="G56">E56+F56</f>
        <v>7150</v>
      </c>
      <c r="H56" s="162"/>
      <c r="I56" s="162"/>
    </row>
    <row r="57" ht="18" customHeight="1">
      <c r="A57" t="s" s="160">
        <v>88</v>
      </c>
      <c r="B57" s="114">
        <v>2</v>
      </c>
      <c r="C57" s="116">
        <v>1700</v>
      </c>
      <c r="D57" s="114">
        <v>1</v>
      </c>
      <c r="E57" s="116" cm="1">
        <f t="array" ref="E57">B57*C57*D57</f>
        <v>3400</v>
      </c>
      <c r="F57" s="117" cm="1">
        <f t="array" ref="F57">E57*0.1</f>
        <v>340</v>
      </c>
      <c r="G57" s="161" cm="1">
        <f t="array" ref="G57">E57+F57</f>
        <v>3740</v>
      </c>
      <c r="H57" s="162"/>
      <c r="I57" s="162"/>
    </row>
    <row r="58" ht="18" customHeight="1">
      <c r="A58" t="s" s="163">
        <v>89</v>
      </c>
      <c r="B58" s="164">
        <v>1</v>
      </c>
      <c r="C58" s="165">
        <v>2500</v>
      </c>
      <c r="D58" s="164">
        <v>1</v>
      </c>
      <c r="E58" s="165" cm="1">
        <f t="array" ref="E58">B58*C58*D58</f>
        <v>2500</v>
      </c>
      <c r="F58" s="166" cm="1">
        <f t="array" ref="F58">E58*0.1</f>
        <v>250</v>
      </c>
      <c r="G58" s="167" cm="1">
        <f t="array" ref="G58">E58+F58</f>
        <v>2750</v>
      </c>
      <c r="H58" s="168"/>
      <c r="I58" s="168"/>
    </row>
    <row r="59" ht="20.45" customHeight="1">
      <c r="A59" t="s" s="154">
        <v>74</v>
      </c>
      <c r="B59" s="155"/>
      <c r="C59" s="156"/>
      <c r="D59" s="155"/>
      <c r="E59" s="156"/>
      <c r="F59" s="157"/>
      <c r="G59" s="158"/>
      <c r="H59" s="159"/>
      <c r="I59" s="159"/>
    </row>
    <row r="60" ht="18" customHeight="1">
      <c r="A60" t="s" s="160">
        <v>85</v>
      </c>
      <c r="B60" s="114">
        <v>1</v>
      </c>
      <c r="C60" s="116">
        <v>7500</v>
      </c>
      <c r="D60" s="114">
        <v>1</v>
      </c>
      <c r="E60" s="116" cm="1">
        <f t="array" ref="E60">B60*C60*D60</f>
        <v>7500</v>
      </c>
      <c r="F60" s="117" cm="1">
        <f t="array" ref="F60">E60*0.1</f>
        <v>750</v>
      </c>
      <c r="G60" s="161" cm="1">
        <f t="array" ref="G60">E60+F60</f>
        <v>8250</v>
      </c>
      <c r="H60" s="162"/>
      <c r="I60" s="162"/>
    </row>
    <row r="61" ht="18" customHeight="1">
      <c r="A61" t="s" s="160">
        <v>86</v>
      </c>
      <c r="B61" s="114">
        <v>1</v>
      </c>
      <c r="C61" s="116">
        <v>6250</v>
      </c>
      <c r="D61" s="114">
        <v>1</v>
      </c>
      <c r="E61" s="116" cm="1">
        <f t="array" ref="E61">B61*C61*D61</f>
        <v>6250</v>
      </c>
      <c r="F61" s="117" cm="1">
        <f t="array" ref="F61">E61*0.1</f>
        <v>625</v>
      </c>
      <c r="G61" s="161" cm="1">
        <f t="array" ref="G61">E61+F61</f>
        <v>6875</v>
      </c>
      <c r="H61" s="162"/>
      <c r="I61" s="162"/>
    </row>
    <row r="62" ht="18" customHeight="1">
      <c r="A62" t="s" s="160">
        <v>87</v>
      </c>
      <c r="B62" s="114">
        <v>1</v>
      </c>
      <c r="C62" s="116">
        <v>6500</v>
      </c>
      <c r="D62" s="114">
        <v>1</v>
      </c>
      <c r="E62" s="116" cm="1">
        <f t="array" ref="E62">B62*C62*D62</f>
        <v>6500</v>
      </c>
      <c r="F62" s="117" cm="1">
        <f t="array" ref="F62">E62*0.1</f>
        <v>650</v>
      </c>
      <c r="G62" s="161" cm="1">
        <f t="array" ref="G62">E62+F62</f>
        <v>7150</v>
      </c>
      <c r="H62" s="162"/>
      <c r="I62" s="162"/>
    </row>
    <row r="63" ht="18" customHeight="1">
      <c r="A63" t="s" s="160">
        <v>90</v>
      </c>
      <c r="B63" s="114">
        <v>1</v>
      </c>
      <c r="C63" s="116">
        <v>6100</v>
      </c>
      <c r="D63" s="114">
        <v>1</v>
      </c>
      <c r="E63" s="116" cm="1">
        <f t="array" ref="E63">B63*C63*D63</f>
        <v>6100</v>
      </c>
      <c r="F63" s="117" cm="1">
        <f t="array" ref="F63">E63*0.1</f>
        <v>610</v>
      </c>
      <c r="G63" s="161" cm="1">
        <f t="array" ref="G63">E63+F63</f>
        <v>6710</v>
      </c>
      <c r="H63" s="162"/>
      <c r="I63" s="162"/>
    </row>
    <row r="64" ht="18" customHeight="1">
      <c r="A64" t="s" s="160">
        <v>88</v>
      </c>
      <c r="B64" s="114">
        <v>2</v>
      </c>
      <c r="C64" s="116">
        <v>1700</v>
      </c>
      <c r="D64" s="114">
        <v>1</v>
      </c>
      <c r="E64" s="116" cm="1">
        <f t="array" ref="E64">B64*C64*D64</f>
        <v>3400</v>
      </c>
      <c r="F64" s="117" cm="1">
        <f t="array" ref="F64">E64*0.1</f>
        <v>340</v>
      </c>
      <c r="G64" s="161" cm="1">
        <f t="array" ref="G64">E64+F64</f>
        <v>3740</v>
      </c>
      <c r="H64" s="162"/>
      <c r="I64" s="162"/>
    </row>
    <row r="65" ht="18" customHeight="1">
      <c r="A65" t="s" s="163">
        <v>89</v>
      </c>
      <c r="B65" s="164">
        <v>1</v>
      </c>
      <c r="C65" s="165">
        <v>2500</v>
      </c>
      <c r="D65" s="164">
        <v>1</v>
      </c>
      <c r="E65" s="165" cm="1">
        <f t="array" ref="E65">B65*C65*D65</f>
        <v>2500</v>
      </c>
      <c r="F65" s="166" cm="1">
        <f t="array" ref="F65">E65*0.1</f>
        <v>250</v>
      </c>
      <c r="G65" s="167" cm="1">
        <f t="array" ref="G65">E65+F65</f>
        <v>2750</v>
      </c>
      <c r="H65" s="168"/>
      <c r="I65" s="168"/>
    </row>
    <row r="66" ht="20.45" customHeight="1">
      <c r="A66" t="s" s="154">
        <v>75</v>
      </c>
      <c r="B66" s="155"/>
      <c r="C66" s="156"/>
      <c r="D66" s="155"/>
      <c r="E66" s="156"/>
      <c r="F66" s="157"/>
      <c r="G66" s="158"/>
      <c r="H66" s="159"/>
      <c r="I66" s="159"/>
    </row>
    <row r="67" ht="18" customHeight="1">
      <c r="A67" t="s" s="160">
        <v>85</v>
      </c>
      <c r="B67" s="114">
        <v>1</v>
      </c>
      <c r="C67" s="116">
        <v>7500</v>
      </c>
      <c r="D67" s="114">
        <v>1</v>
      </c>
      <c r="E67" s="116" cm="1">
        <f t="array" ref="E67">B67*C67*D67</f>
        <v>7500</v>
      </c>
      <c r="F67" s="117" cm="1">
        <f t="array" ref="F67">E67*0.1</f>
        <v>750</v>
      </c>
      <c r="G67" s="161" cm="1">
        <f t="array" ref="G67">E67+F67</f>
        <v>8250</v>
      </c>
      <c r="H67" s="162"/>
      <c r="I67" s="162"/>
    </row>
    <row r="68" ht="18" customHeight="1">
      <c r="A68" t="s" s="160">
        <v>86</v>
      </c>
      <c r="B68" s="114">
        <v>1</v>
      </c>
      <c r="C68" s="116">
        <v>6250</v>
      </c>
      <c r="D68" s="114">
        <v>1</v>
      </c>
      <c r="E68" s="116" cm="1">
        <f t="array" ref="E68">B68*C68*D68</f>
        <v>6250</v>
      </c>
      <c r="F68" s="117" cm="1">
        <f t="array" ref="F68">E68*0.1</f>
        <v>625</v>
      </c>
      <c r="G68" s="161" cm="1">
        <f t="array" ref="G68">E68+F68</f>
        <v>6875</v>
      </c>
      <c r="H68" s="162"/>
      <c r="I68" s="162"/>
    </row>
    <row r="69" ht="18" customHeight="1">
      <c r="A69" t="s" s="160">
        <v>87</v>
      </c>
      <c r="B69" s="114">
        <v>1</v>
      </c>
      <c r="C69" s="116">
        <v>6500</v>
      </c>
      <c r="D69" s="114">
        <v>1</v>
      </c>
      <c r="E69" s="116" cm="1">
        <f t="array" ref="E69">B69*C69*D69</f>
        <v>6500</v>
      </c>
      <c r="F69" s="117" cm="1">
        <f t="array" ref="F69">E69*0.1</f>
        <v>650</v>
      </c>
      <c r="G69" s="161" cm="1">
        <f t="array" ref="G69">E69+F69</f>
        <v>7150</v>
      </c>
      <c r="H69" s="162"/>
      <c r="I69" s="162"/>
    </row>
    <row r="70" ht="18" customHeight="1">
      <c r="A70" t="s" s="160">
        <v>70</v>
      </c>
      <c r="B70" s="114">
        <v>1</v>
      </c>
      <c r="C70" s="116">
        <v>17000</v>
      </c>
      <c r="D70" s="114">
        <v>1</v>
      </c>
      <c r="E70" s="116" cm="1">
        <f t="array" ref="E70">B70*C70*D70</f>
        <v>17000</v>
      </c>
      <c r="F70" s="117" cm="1">
        <f t="array" ref="F70">E70*0.1</f>
        <v>1700</v>
      </c>
      <c r="G70" s="161" cm="1">
        <f t="array" ref="G70">E70+F70</f>
        <v>18700</v>
      </c>
      <c r="H70" s="162"/>
      <c r="I70" s="162"/>
    </row>
    <row r="71" ht="18" customHeight="1">
      <c r="A71" t="s" s="160">
        <v>88</v>
      </c>
      <c r="B71" s="114">
        <v>2</v>
      </c>
      <c r="C71" s="116">
        <v>1700</v>
      </c>
      <c r="D71" s="114">
        <v>1</v>
      </c>
      <c r="E71" s="116" cm="1">
        <f t="array" ref="E71">B71*C71*D71</f>
        <v>3400</v>
      </c>
      <c r="F71" s="117" cm="1">
        <f t="array" ref="F71">E71*0.1</f>
        <v>340</v>
      </c>
      <c r="G71" s="161" cm="1">
        <f t="array" ref="G71">E71+F71</f>
        <v>3740</v>
      </c>
      <c r="H71" s="162"/>
      <c r="I71" s="162"/>
    </row>
    <row r="72" ht="25" customHeight="1">
      <c r="A72" t="s" s="169">
        <v>89</v>
      </c>
      <c r="B72" s="170">
        <v>1</v>
      </c>
      <c r="C72" s="171">
        <v>2500</v>
      </c>
      <c r="D72" s="170">
        <v>1</v>
      </c>
      <c r="E72" s="171" cm="1">
        <f t="array" ref="E72">B72*C72*D72</f>
        <v>2500</v>
      </c>
      <c r="F72" s="172" cm="1">
        <f t="array" ref="F72">E72*0.1</f>
        <v>250</v>
      </c>
      <c r="G72" s="173" cm="1">
        <f t="array" ref="G72">E72+F72</f>
        <v>2750</v>
      </c>
      <c r="H72" s="174"/>
      <c r="I72" s="174"/>
    </row>
    <row r="73" ht="24.7" customHeight="1">
      <c r="A73" s="175"/>
      <c r="B73" s="176"/>
      <c r="C73" s="177"/>
      <c r="D73" s="176"/>
      <c r="E73" s="177"/>
      <c r="F73" s="178"/>
      <c r="G73" s="179"/>
      <c r="H73" s="179"/>
      <c r="I73" s="179"/>
    </row>
    <row r="74" ht="58.8" customHeight="1">
      <c r="A74" t="s" s="180">
        <v>91</v>
      </c>
      <c r="B74" s="181"/>
      <c r="C74" s="182"/>
      <c r="D74" s="181"/>
      <c r="E74" s="182"/>
      <c r="F74" s="183"/>
      <c r="G74" s="184" cm="1">
        <f t="array" ref="G74">G75+G96+G109+G122</f>
        <v>1894226.4</v>
      </c>
      <c r="H74" s="185"/>
      <c r="I74" s="185"/>
    </row>
    <row r="75" ht="24.7" customHeight="1">
      <c r="A75" t="s" s="186">
        <v>92</v>
      </c>
      <c r="B75" s="187"/>
      <c r="C75" s="188"/>
      <c r="D75" s="187"/>
      <c r="E75" s="188"/>
      <c r="F75" s="189"/>
      <c r="G75" s="190" cm="1">
        <f t="array" ref="G75">G76+G82+G86+G90+G95</f>
        <v>532206.4</v>
      </c>
      <c r="H75" s="191"/>
      <c r="I75" s="191"/>
    </row>
    <row r="76" ht="24.7" customHeight="1">
      <c r="A76" t="s" s="192">
        <v>93</v>
      </c>
      <c r="B76" s="193"/>
      <c r="C76" s="194"/>
      <c r="D76" s="193"/>
      <c r="E76" s="194"/>
      <c r="F76" s="195"/>
      <c r="G76" s="196" cm="1">
        <f t="array" ref="G76">SUM(G77:G80)</f>
        <v>298100</v>
      </c>
      <c r="H76" s="197"/>
      <c r="I76" s="197"/>
    </row>
    <row r="77" ht="38.2" customHeight="1">
      <c r="A77" t="s" s="198">
        <v>94</v>
      </c>
      <c r="B77" s="114">
        <v>100</v>
      </c>
      <c r="C77" s="116">
        <v>710</v>
      </c>
      <c r="D77" s="114">
        <v>1</v>
      </c>
      <c r="E77" s="116" cm="1">
        <f t="array" ref="E77">B77*C77*D77</f>
        <v>71000</v>
      </c>
      <c r="F77" s="117" cm="1">
        <f t="array" ref="F77">E77*0.1</f>
        <v>7100</v>
      </c>
      <c r="G77" s="199" cm="1">
        <f t="array" ref="G77">E77+F77</f>
        <v>78100</v>
      </c>
      <c r="H77" s="200"/>
      <c r="I77" s="200"/>
    </row>
    <row r="78" ht="32" customHeight="1">
      <c r="A78" t="s" s="198">
        <v>95</v>
      </c>
      <c r="B78" s="114">
        <v>100</v>
      </c>
      <c r="C78" s="116">
        <v>600</v>
      </c>
      <c r="D78" s="114">
        <v>1</v>
      </c>
      <c r="E78" s="116" cm="1">
        <f t="array" ref="E78">B78*C78*D78</f>
        <v>60000</v>
      </c>
      <c r="F78" s="117" cm="1">
        <f t="array" ref="F78">E78*0.1</f>
        <v>6000</v>
      </c>
      <c r="G78" s="199" cm="1">
        <f t="array" ref="G78">E78+F78</f>
        <v>66000</v>
      </c>
      <c r="H78" s="200"/>
      <c r="I78" s="200"/>
    </row>
    <row r="79" ht="24.7" customHeight="1">
      <c r="A79" t="s" s="198">
        <v>96</v>
      </c>
      <c r="B79" s="114">
        <v>100</v>
      </c>
      <c r="C79" s="116">
        <v>1100</v>
      </c>
      <c r="D79" s="114">
        <v>1</v>
      </c>
      <c r="E79" s="116" cm="1">
        <f t="array" ref="E79">B79*C79*D79</f>
        <v>110000</v>
      </c>
      <c r="F79" s="117" cm="1">
        <f t="array" ref="F79">E79*0.1</f>
        <v>11000</v>
      </c>
      <c r="G79" s="199" cm="1">
        <f t="array" ref="G79">E79+F79</f>
        <v>121000</v>
      </c>
      <c r="H79" s="200"/>
      <c r="I79" s="200"/>
    </row>
    <row r="80" ht="24.7" customHeight="1">
      <c r="A80" t="s" s="198">
        <v>97</v>
      </c>
      <c r="B80" s="114">
        <v>100</v>
      </c>
      <c r="C80" s="116">
        <v>300</v>
      </c>
      <c r="D80" s="114">
        <v>1</v>
      </c>
      <c r="E80" s="116" cm="1">
        <f t="array" ref="E80">B80*C80*D80</f>
        <v>30000</v>
      </c>
      <c r="F80" s="117" cm="1">
        <f t="array" ref="F80">E80*0.1</f>
        <v>3000</v>
      </c>
      <c r="G80" s="199" cm="1">
        <f t="array" ref="G80">E80+F80</f>
        <v>33000</v>
      </c>
      <c r="H80" s="200"/>
      <c r="I80" s="200"/>
    </row>
    <row r="81" ht="24.7" customHeight="1">
      <c r="A81" t="s" s="201">
        <v>43</v>
      </c>
      <c r="B81" s="202">
        <v>100</v>
      </c>
      <c r="C81" s="203">
        <v>100</v>
      </c>
      <c r="D81" s="202">
        <v>1</v>
      </c>
      <c r="E81" s="203" cm="1">
        <f t="array" ref="E81">B81*C81*D81</f>
        <v>10000</v>
      </c>
      <c r="F81" s="204" cm="1">
        <f t="array" ref="F81">E81*0.1</f>
        <v>1000</v>
      </c>
      <c r="G81" s="199"/>
      <c r="H81" s="200">
        <v>11000</v>
      </c>
      <c r="I81" s="200"/>
    </row>
    <row r="82" ht="24.7" customHeight="1">
      <c r="A82" t="s" s="192">
        <v>21</v>
      </c>
      <c r="B82" s="193"/>
      <c r="C82" s="194"/>
      <c r="D82" s="193"/>
      <c r="E82" s="194"/>
      <c r="F82" s="195"/>
      <c r="G82" s="205" cm="1">
        <f t="array" ref="G82">SUM(G83:G85)</f>
        <v>73279.8</v>
      </c>
      <c r="H82" s="206"/>
      <c r="I82" s="206"/>
    </row>
    <row r="83" ht="40.45" customHeight="1">
      <c r="A83" t="s" s="198">
        <v>98</v>
      </c>
      <c r="B83" s="114">
        <v>6</v>
      </c>
      <c r="C83" s="116">
        <v>6303</v>
      </c>
      <c r="D83" s="114">
        <v>1</v>
      </c>
      <c r="E83" s="116" cm="1">
        <f t="array" ref="E83">B83*C83*D83</f>
        <v>37818</v>
      </c>
      <c r="F83" s="117" cm="1">
        <f t="array" ref="F83">E83*0.1</f>
        <v>3781.8</v>
      </c>
      <c r="G83" s="199" cm="1">
        <f t="array" ref="G83">E83+F83</f>
        <v>41599.8</v>
      </c>
      <c r="H83" s="200"/>
      <c r="I83" s="200"/>
    </row>
    <row r="84" ht="24.7" customHeight="1">
      <c r="A84" t="s" s="198">
        <v>99</v>
      </c>
      <c r="B84" s="114">
        <v>6</v>
      </c>
      <c r="C84" s="116">
        <v>1800</v>
      </c>
      <c r="D84" s="114">
        <v>1</v>
      </c>
      <c r="E84" s="116" cm="1">
        <f t="array" ref="E84">B84*C84*D84</f>
        <v>10800</v>
      </c>
      <c r="F84" s="117" cm="1">
        <f t="array" ref="F84">E84*0.1</f>
        <v>1080</v>
      </c>
      <c r="G84" s="199" cm="1">
        <f t="array" ref="G84">E84+F84</f>
        <v>11880</v>
      </c>
      <c r="H84" s="200"/>
      <c r="I84" s="200"/>
    </row>
    <row r="85" ht="24.7" customHeight="1">
      <c r="A85" t="s" s="201">
        <v>100</v>
      </c>
      <c r="B85" s="202">
        <v>6</v>
      </c>
      <c r="C85" s="203">
        <v>3000</v>
      </c>
      <c r="D85" s="202">
        <v>1</v>
      </c>
      <c r="E85" s="203" cm="1">
        <f t="array" ref="E85">B85*C85*D85</f>
        <v>18000</v>
      </c>
      <c r="F85" s="204" cm="1">
        <f t="array" ref="F85">E85*0.1</f>
        <v>1800</v>
      </c>
      <c r="G85" s="207" cm="1">
        <f t="array" ref="G85">E85+F85</f>
        <v>19800</v>
      </c>
      <c r="H85" s="208"/>
      <c r="I85" s="208"/>
    </row>
    <row r="86" ht="24.7" customHeight="1">
      <c r="A86" t="s" s="192">
        <v>101</v>
      </c>
      <c r="B86" s="193"/>
      <c r="C86" s="194"/>
      <c r="D86" s="193"/>
      <c r="E86" s="194"/>
      <c r="F86" s="195"/>
      <c r="G86" s="196" cm="1">
        <f t="array" ref="G86">SUM(G87:G89)</f>
        <v>24426.6</v>
      </c>
      <c r="H86" s="197"/>
      <c r="I86" s="197"/>
    </row>
    <row r="87" ht="39.05" customHeight="1">
      <c r="A87" t="s" s="198">
        <v>98</v>
      </c>
      <c r="B87" s="114">
        <v>2</v>
      </c>
      <c r="C87" s="116">
        <v>6303</v>
      </c>
      <c r="D87" s="114">
        <v>1</v>
      </c>
      <c r="E87" s="116" cm="1">
        <f t="array" ref="E87">B87*C87*D87</f>
        <v>12606</v>
      </c>
      <c r="F87" s="117" cm="1">
        <f t="array" ref="F87">E87*0.1</f>
        <v>1260.6</v>
      </c>
      <c r="G87" s="199" cm="1">
        <f t="array" ref="G87">E87+F87</f>
        <v>13866.6</v>
      </c>
      <c r="H87" s="200"/>
      <c r="I87" s="200"/>
    </row>
    <row r="88" ht="24.7" customHeight="1">
      <c r="A88" t="s" s="209">
        <v>99</v>
      </c>
      <c r="B88" s="114">
        <v>2</v>
      </c>
      <c r="C88" s="116">
        <v>1800</v>
      </c>
      <c r="D88" s="114">
        <v>1</v>
      </c>
      <c r="E88" s="116" cm="1">
        <f t="array" ref="E88">B88*C88*D88</f>
        <v>3600</v>
      </c>
      <c r="F88" s="117" cm="1">
        <f t="array" ref="F88">E88*0.1</f>
        <v>360</v>
      </c>
      <c r="G88" s="199" cm="1">
        <f t="array" ref="G88">E88+F88</f>
        <v>3960</v>
      </c>
      <c r="H88" s="200"/>
      <c r="I88" s="200"/>
    </row>
    <row r="89" ht="24.7" customHeight="1">
      <c r="A89" t="s" s="198">
        <v>100</v>
      </c>
      <c r="B89" s="114">
        <v>2</v>
      </c>
      <c r="C89" s="116">
        <v>3000</v>
      </c>
      <c r="D89" s="114">
        <v>1</v>
      </c>
      <c r="E89" s="116" cm="1">
        <f t="array" ref="E89">B89*C89*D89</f>
        <v>6000</v>
      </c>
      <c r="F89" s="117" cm="1">
        <f t="array" ref="F89">E89*0.1</f>
        <v>600</v>
      </c>
      <c r="G89" s="199" cm="1">
        <f t="array" ref="G89">E89+F89</f>
        <v>6600</v>
      </c>
      <c r="H89" s="200"/>
      <c r="I89" s="200"/>
    </row>
    <row r="90" ht="24.7" customHeight="1">
      <c r="A90" t="s" s="210">
        <v>102</v>
      </c>
      <c r="B90" s="211"/>
      <c r="C90" s="212"/>
      <c r="D90" s="211"/>
      <c r="E90" s="212"/>
      <c r="F90" s="213"/>
      <c r="G90" s="205" cm="1">
        <f t="array" ref="G90">SUM(G91:G94)</f>
        <v>92400</v>
      </c>
      <c r="H90" s="206"/>
      <c r="I90" s="206"/>
    </row>
    <row r="91" ht="24.7" customHeight="1">
      <c r="A91" t="s" s="198">
        <v>103</v>
      </c>
      <c r="B91" s="114">
        <v>3</v>
      </c>
      <c r="C91" s="116">
        <v>10000</v>
      </c>
      <c r="D91" s="114">
        <v>1</v>
      </c>
      <c r="E91" s="116" cm="1">
        <f t="array" ref="E91">B91*C91*D91</f>
        <v>30000</v>
      </c>
      <c r="F91" s="117" cm="1">
        <f t="array" ref="F91">E91*0.1</f>
        <v>3000</v>
      </c>
      <c r="G91" s="199" cm="1">
        <f t="array" ref="G91">E91+F91</f>
        <v>33000</v>
      </c>
      <c r="H91" s="200"/>
      <c r="I91" s="200"/>
    </row>
    <row r="92" ht="24.7" customHeight="1">
      <c r="A92" t="s" s="198">
        <v>104</v>
      </c>
      <c r="B92" s="114">
        <v>6</v>
      </c>
      <c r="C92" s="116">
        <v>6500</v>
      </c>
      <c r="D92" s="114">
        <v>1</v>
      </c>
      <c r="E92" s="116" cm="1">
        <f t="array" ref="E92">B92*C92*D92</f>
        <v>39000</v>
      </c>
      <c r="F92" s="117" cm="1">
        <f t="array" ref="F92">E92*0.1</f>
        <v>3900</v>
      </c>
      <c r="G92" s="199" cm="1">
        <f t="array" ref="G92">E92+F92</f>
        <v>42900</v>
      </c>
      <c r="H92" s="200"/>
      <c r="I92" s="200"/>
    </row>
    <row r="93" ht="24.7" customHeight="1">
      <c r="A93" t="s" s="198">
        <v>105</v>
      </c>
      <c r="B93" s="114">
        <v>1</v>
      </c>
      <c r="C93" s="116">
        <v>10000</v>
      </c>
      <c r="D93" s="114">
        <v>1</v>
      </c>
      <c r="E93" s="116" cm="1">
        <f t="array" ref="E93">B93*C93*D93</f>
        <v>10000</v>
      </c>
      <c r="F93" s="117" cm="1">
        <f t="array" ref="F93">E93*0.1</f>
        <v>1000</v>
      </c>
      <c r="G93" s="199" cm="1">
        <f t="array" ref="G93">E93+F93</f>
        <v>11000</v>
      </c>
      <c r="H93" s="200"/>
      <c r="I93" s="200"/>
    </row>
    <row r="94" ht="24.7" customHeight="1">
      <c r="A94" t="s" s="198">
        <v>106</v>
      </c>
      <c r="B94" s="114">
        <v>2</v>
      </c>
      <c r="C94" s="116">
        <v>2500</v>
      </c>
      <c r="D94" s="114">
        <v>1</v>
      </c>
      <c r="E94" s="116" cm="1">
        <f t="array" ref="E94">B94*C94*D94</f>
        <v>5000</v>
      </c>
      <c r="F94" s="117" cm="1">
        <f t="array" ref="F94">E94*0.1</f>
        <v>500</v>
      </c>
      <c r="G94" s="199" cm="1">
        <f t="array" ref="G94">E94+F94</f>
        <v>5500</v>
      </c>
      <c r="H94" s="200"/>
      <c r="I94" s="200"/>
    </row>
    <row r="95" ht="24.7" customHeight="1">
      <c r="A95" t="s" s="214">
        <v>46</v>
      </c>
      <c r="B95" s="215">
        <v>1</v>
      </c>
      <c r="C95" s="216">
        <v>40000</v>
      </c>
      <c r="D95" s="215">
        <v>1</v>
      </c>
      <c r="E95" s="216" cm="1">
        <f t="array" ref="E95">B95*C95*D95</f>
        <v>40000</v>
      </c>
      <c r="F95" s="217" cm="1">
        <f t="array" ref="F95">E95*0.1</f>
        <v>4000</v>
      </c>
      <c r="G95" s="218" cm="1">
        <f t="array" ref="G95">E95+F95</f>
        <v>44000</v>
      </c>
      <c r="H95" s="219"/>
      <c r="I95" s="219"/>
    </row>
    <row r="96" ht="24.7" customHeight="1">
      <c r="A96" t="s" s="186">
        <v>107</v>
      </c>
      <c r="B96" s="187"/>
      <c r="C96" s="188"/>
      <c r="D96" s="187"/>
      <c r="E96" s="188"/>
      <c r="F96" s="189"/>
      <c r="G96" s="190" cm="1">
        <f t="array" ref="G96">G97+G103+G108</f>
        <v>394130</v>
      </c>
      <c r="H96" s="191"/>
      <c r="I96" s="191"/>
    </row>
    <row r="97" ht="24.7" customHeight="1">
      <c r="A97" t="s" s="192">
        <v>93</v>
      </c>
      <c r="B97" s="193"/>
      <c r="C97" s="194"/>
      <c r="D97" s="193"/>
      <c r="E97" s="194"/>
      <c r="F97" s="195"/>
      <c r="G97" s="196" cm="1">
        <f t="array" ref="G97">SUM(G98:G101)</f>
        <v>364100</v>
      </c>
      <c r="H97" s="197"/>
      <c r="I97" s="197"/>
    </row>
    <row r="98" ht="37.3" customHeight="1">
      <c r="A98" t="s" s="198">
        <v>94</v>
      </c>
      <c r="B98" s="114">
        <v>100</v>
      </c>
      <c r="C98" s="116">
        <v>910</v>
      </c>
      <c r="D98" s="114">
        <v>1</v>
      </c>
      <c r="E98" s="116" cm="1">
        <f t="array" ref="E98">B98*C98*D98</f>
        <v>91000</v>
      </c>
      <c r="F98" s="117" cm="1">
        <f t="array" ref="F98">E98*0.1</f>
        <v>9100</v>
      </c>
      <c r="G98" s="199" cm="1">
        <f t="array" ref="G98">E98+F98</f>
        <v>100100</v>
      </c>
      <c r="H98" s="200"/>
      <c r="I98" s="200"/>
    </row>
    <row r="99" ht="32" customHeight="1">
      <c r="A99" t="s" s="198">
        <v>95</v>
      </c>
      <c r="B99" s="114">
        <v>100</v>
      </c>
      <c r="C99" s="116">
        <v>750</v>
      </c>
      <c r="D99" s="114">
        <v>1</v>
      </c>
      <c r="E99" s="116" cm="1">
        <f t="array" ref="E99">B99*C99*D99</f>
        <v>75000</v>
      </c>
      <c r="F99" s="117" cm="1">
        <f t="array" ref="F99">E99*0.1</f>
        <v>7500</v>
      </c>
      <c r="G99" s="199" cm="1">
        <f t="array" ref="G99">E99+F99</f>
        <v>82500</v>
      </c>
      <c r="H99" s="200"/>
      <c r="I99" s="200"/>
    </row>
    <row r="100" ht="24.7" customHeight="1">
      <c r="A100" t="s" s="198">
        <v>96</v>
      </c>
      <c r="B100" s="114">
        <v>100</v>
      </c>
      <c r="C100" s="116">
        <v>1300</v>
      </c>
      <c r="D100" s="114">
        <v>1</v>
      </c>
      <c r="E100" s="116" cm="1">
        <f t="array" ref="E100">B100*C100*D100</f>
        <v>130000</v>
      </c>
      <c r="F100" s="117" cm="1">
        <f t="array" ref="F100">E100*0.1</f>
        <v>13000</v>
      </c>
      <c r="G100" s="199" cm="1">
        <f t="array" ref="G100">E100+F100</f>
        <v>143000</v>
      </c>
      <c r="H100" s="200"/>
      <c r="I100" s="200"/>
    </row>
    <row r="101" ht="24.7" customHeight="1">
      <c r="A101" t="s" s="198">
        <v>97</v>
      </c>
      <c r="B101" s="114">
        <v>100</v>
      </c>
      <c r="C101" s="116">
        <v>350</v>
      </c>
      <c r="D101" s="114">
        <v>1</v>
      </c>
      <c r="E101" s="116" cm="1">
        <f t="array" ref="E101">B101*C101*D101</f>
        <v>35000</v>
      </c>
      <c r="F101" s="117" cm="1">
        <f t="array" ref="F101">E101*0.1</f>
        <v>3500</v>
      </c>
      <c r="G101" s="199" cm="1">
        <f t="array" ref="G101">E101+F101</f>
        <v>38500</v>
      </c>
      <c r="H101" s="200"/>
      <c r="I101" s="200"/>
    </row>
    <row r="102" ht="24.7" customHeight="1">
      <c r="A102" t="s" s="198">
        <v>43</v>
      </c>
      <c r="B102" s="202">
        <v>100</v>
      </c>
      <c r="C102" s="203">
        <v>120</v>
      </c>
      <c r="D102" s="202">
        <v>1</v>
      </c>
      <c r="E102" s="203" cm="1">
        <f t="array" ref="E102">B102*C102*D102</f>
        <v>12000</v>
      </c>
      <c r="F102" s="204" cm="1">
        <f t="array" ref="F102">E102*0.1</f>
        <v>1200</v>
      </c>
      <c r="G102" s="207"/>
      <c r="H102" s="200">
        <v>13200</v>
      </c>
      <c r="I102" s="200"/>
    </row>
    <row r="103" ht="24.7" customHeight="1">
      <c r="A103" t="s" s="210">
        <v>102</v>
      </c>
      <c r="B103" s="193"/>
      <c r="C103" s="194"/>
      <c r="D103" s="193"/>
      <c r="E103" s="194"/>
      <c r="F103" s="195"/>
      <c r="G103" s="196" cm="1">
        <f t="array" ref="G103">SUM(G104:G107)</f>
        <v>21120</v>
      </c>
      <c r="H103" s="206"/>
      <c r="I103" s="206"/>
    </row>
    <row r="104" ht="24.7" customHeight="1">
      <c r="A104" t="s" s="198">
        <v>103</v>
      </c>
      <c r="B104" s="114">
        <v>3</v>
      </c>
      <c r="C104" s="116">
        <v>2100</v>
      </c>
      <c r="D104" s="114">
        <v>1</v>
      </c>
      <c r="E104" s="116" cm="1">
        <f t="array" ref="E104">B104*C104*D104</f>
        <v>6300</v>
      </c>
      <c r="F104" s="117" cm="1">
        <f t="array" ref="F104">E104*0.1</f>
        <v>630</v>
      </c>
      <c r="G104" s="199" cm="1">
        <f t="array" ref="G104">E104+F104</f>
        <v>6930</v>
      </c>
      <c r="H104" s="200"/>
      <c r="I104" s="200"/>
    </row>
    <row r="105" ht="24.7" customHeight="1">
      <c r="A105" t="s" s="198">
        <v>104</v>
      </c>
      <c r="B105" s="114">
        <v>6</v>
      </c>
      <c r="C105" s="116">
        <v>900</v>
      </c>
      <c r="D105" s="114">
        <v>1</v>
      </c>
      <c r="E105" s="116" cm="1">
        <f t="array" ref="E105">B105*C105*D105</f>
        <v>5400</v>
      </c>
      <c r="F105" s="117" cm="1">
        <f t="array" ref="F105">E105*0.1</f>
        <v>540</v>
      </c>
      <c r="G105" s="199" cm="1">
        <f t="array" ref="G105">E105+F105</f>
        <v>5940</v>
      </c>
      <c r="H105" s="200"/>
      <c r="I105" s="200"/>
    </row>
    <row r="106" ht="24.7" customHeight="1">
      <c r="A106" t="s" s="198">
        <v>105</v>
      </c>
      <c r="B106" s="114">
        <v>1</v>
      </c>
      <c r="C106" s="116">
        <v>2500</v>
      </c>
      <c r="D106" s="114">
        <v>1</v>
      </c>
      <c r="E106" s="116" cm="1">
        <f t="array" ref="E106">B106*C106*D106</f>
        <v>2500</v>
      </c>
      <c r="F106" s="117" cm="1">
        <f t="array" ref="F106">E106*0.1</f>
        <v>250</v>
      </c>
      <c r="G106" s="199" cm="1">
        <f t="array" ref="G106">E106+F106</f>
        <v>2750</v>
      </c>
      <c r="H106" s="200"/>
      <c r="I106" s="200"/>
    </row>
    <row r="107" ht="18" customHeight="1">
      <c r="A107" t="s" s="198">
        <v>106</v>
      </c>
      <c r="B107" s="114">
        <v>2</v>
      </c>
      <c r="C107" s="116">
        <v>2500</v>
      </c>
      <c r="D107" s="114">
        <v>1</v>
      </c>
      <c r="E107" s="116" cm="1">
        <f t="array" ref="E107">B107*C107*D107</f>
        <v>5000</v>
      </c>
      <c r="F107" s="117" cm="1">
        <f t="array" ref="F107">E107*0.1</f>
        <v>500</v>
      </c>
      <c r="G107" s="199" cm="1">
        <f t="array" ref="G107">E107+F107</f>
        <v>5500</v>
      </c>
      <c r="H107" s="200"/>
      <c r="I107" s="200"/>
    </row>
    <row r="108" ht="24.7" customHeight="1">
      <c r="A108" t="s" s="214">
        <v>46</v>
      </c>
      <c r="B108" s="215">
        <v>1</v>
      </c>
      <c r="C108" s="216">
        <v>8100</v>
      </c>
      <c r="D108" s="215">
        <v>1</v>
      </c>
      <c r="E108" s="216" cm="1">
        <f t="array" ref="E108">B108*C108*D108</f>
        <v>8100</v>
      </c>
      <c r="F108" s="217" cm="1">
        <f t="array" ref="F108">E108*0.1</f>
        <v>810</v>
      </c>
      <c r="G108" s="218" cm="1">
        <f t="array" ref="G108">E108+F108</f>
        <v>8910</v>
      </c>
      <c r="H108" s="219"/>
      <c r="I108" s="219"/>
    </row>
    <row r="109" ht="24.7" customHeight="1">
      <c r="A109" t="s" s="186">
        <v>108</v>
      </c>
      <c r="B109" s="187"/>
      <c r="C109" s="188"/>
      <c r="D109" s="187"/>
      <c r="E109" s="188"/>
      <c r="F109" s="189"/>
      <c r="G109" s="190" cm="1">
        <f t="array" ref="G109">G110+G116+G121</f>
        <v>389730</v>
      </c>
      <c r="H109" s="191"/>
      <c r="I109" s="191"/>
    </row>
    <row r="110" ht="24.7" customHeight="1">
      <c r="A110" t="s" s="192">
        <v>93</v>
      </c>
      <c r="B110" s="193"/>
      <c r="C110" s="194"/>
      <c r="D110" s="193"/>
      <c r="E110" s="194"/>
      <c r="F110" s="195"/>
      <c r="G110" s="196" cm="1">
        <f t="array" ref="G110">SUM(G111:G114)</f>
        <v>359700</v>
      </c>
      <c r="H110" s="197"/>
      <c r="I110" s="197"/>
    </row>
    <row r="111" ht="32" customHeight="1">
      <c r="A111" t="s" s="198">
        <v>94</v>
      </c>
      <c r="B111" s="114">
        <v>100</v>
      </c>
      <c r="C111" s="116">
        <v>940</v>
      </c>
      <c r="D111" s="114">
        <v>1</v>
      </c>
      <c r="E111" s="116" cm="1">
        <f t="array" ref="E111">B111*C111*D111</f>
        <v>94000</v>
      </c>
      <c r="F111" s="117" cm="1">
        <f t="array" ref="F111">E111*0.1</f>
        <v>9400</v>
      </c>
      <c r="G111" s="199" cm="1">
        <f t="array" ref="G111">E111+F111</f>
        <v>103400</v>
      </c>
      <c r="H111" s="200"/>
      <c r="I111" s="200"/>
    </row>
    <row r="112" ht="37.4" customHeight="1">
      <c r="A112" t="s" s="198">
        <v>95</v>
      </c>
      <c r="B112" s="114">
        <v>100</v>
      </c>
      <c r="C112" s="116">
        <v>730</v>
      </c>
      <c r="D112" s="114">
        <v>1</v>
      </c>
      <c r="E112" s="116" cm="1">
        <f t="array" ref="E112">B112*C112*D112</f>
        <v>73000</v>
      </c>
      <c r="F112" s="117" cm="1">
        <f t="array" ref="F112">E112*0.1</f>
        <v>7300</v>
      </c>
      <c r="G112" s="199" cm="1">
        <f t="array" ref="G112">E112+F112</f>
        <v>80300</v>
      </c>
      <c r="H112" s="200"/>
      <c r="I112" s="200"/>
    </row>
    <row r="113" ht="18" customHeight="1">
      <c r="A113" t="s" s="198">
        <v>96</v>
      </c>
      <c r="B113" s="114">
        <v>100</v>
      </c>
      <c r="C113" s="116">
        <v>1250</v>
      </c>
      <c r="D113" s="114">
        <v>1</v>
      </c>
      <c r="E113" s="116" cm="1">
        <f t="array" ref="E113">B113*C113*D113</f>
        <v>125000</v>
      </c>
      <c r="F113" s="117" cm="1">
        <f t="array" ref="F113">E113*0.1</f>
        <v>12500</v>
      </c>
      <c r="G113" s="199" cm="1">
        <f t="array" ref="G113">E113+F113</f>
        <v>137500</v>
      </c>
      <c r="H113" s="200"/>
      <c r="I113" s="200"/>
    </row>
    <row r="114" ht="23.95" customHeight="1">
      <c r="A114" t="s" s="198">
        <v>97</v>
      </c>
      <c r="B114" s="114">
        <v>100</v>
      </c>
      <c r="C114" s="116">
        <v>350</v>
      </c>
      <c r="D114" s="114">
        <v>1</v>
      </c>
      <c r="E114" s="116" cm="1">
        <f t="array" ref="E114">B114*C114*D114</f>
        <v>35000</v>
      </c>
      <c r="F114" s="117" cm="1">
        <f t="array" ref="F114">E114*0.1</f>
        <v>3500</v>
      </c>
      <c r="G114" s="199" cm="1">
        <f t="array" ref="G114">E114+F114</f>
        <v>38500</v>
      </c>
      <c r="H114" s="200"/>
      <c r="I114" s="200"/>
    </row>
    <row r="115" ht="23.95" customHeight="1">
      <c r="A115" t="s" s="201">
        <v>43</v>
      </c>
      <c r="B115" s="202">
        <v>100</v>
      </c>
      <c r="C115" s="203">
        <v>120</v>
      </c>
      <c r="D115" s="202">
        <v>1</v>
      </c>
      <c r="E115" s="203" cm="1">
        <f t="array" ref="E115">B115*C115*D115</f>
        <v>12000</v>
      </c>
      <c r="F115" s="204" cm="1">
        <f t="array" ref="F115">E115*0.1</f>
        <v>1200</v>
      </c>
      <c r="G115" s="207"/>
      <c r="H115" s="208">
        <v>13200</v>
      </c>
      <c r="I115" s="208"/>
    </row>
    <row r="116" ht="24.7" customHeight="1">
      <c r="A116" t="s" s="192">
        <v>102</v>
      </c>
      <c r="B116" s="193"/>
      <c r="C116" s="194"/>
      <c r="D116" s="193"/>
      <c r="E116" s="194"/>
      <c r="F116" s="195"/>
      <c r="G116" s="196" cm="1">
        <f t="array" ref="G116">SUM(G117:G120)</f>
        <v>21120</v>
      </c>
      <c r="H116" s="197"/>
      <c r="I116" s="197"/>
    </row>
    <row r="117" ht="18" customHeight="1">
      <c r="A117" t="s" s="198">
        <v>103</v>
      </c>
      <c r="B117" s="114">
        <v>3</v>
      </c>
      <c r="C117" s="116">
        <v>2100</v>
      </c>
      <c r="D117" s="114">
        <v>1</v>
      </c>
      <c r="E117" s="116" cm="1">
        <f t="array" ref="E117">B117*C117*D117</f>
        <v>6300</v>
      </c>
      <c r="F117" s="117" cm="1">
        <f t="array" ref="F117">E117*0.1</f>
        <v>630</v>
      </c>
      <c r="G117" s="199" cm="1">
        <f t="array" ref="G117">E117+F117</f>
        <v>6930</v>
      </c>
      <c r="H117" s="200"/>
      <c r="I117" s="200"/>
    </row>
    <row r="118" ht="18" customHeight="1">
      <c r="A118" t="s" s="198">
        <v>104</v>
      </c>
      <c r="B118" s="114">
        <v>6</v>
      </c>
      <c r="C118" s="116">
        <v>900</v>
      </c>
      <c r="D118" s="114">
        <v>1</v>
      </c>
      <c r="E118" s="116" cm="1">
        <f t="array" ref="E118">B118*C118*D118</f>
        <v>5400</v>
      </c>
      <c r="F118" s="117" cm="1">
        <f t="array" ref="F118">E118*0.1</f>
        <v>540</v>
      </c>
      <c r="G118" s="199" cm="1">
        <f t="array" ref="G118">E118+F118</f>
        <v>5940</v>
      </c>
      <c r="H118" s="200"/>
      <c r="I118" s="200"/>
    </row>
    <row r="119" ht="23.35" customHeight="1">
      <c r="A119" t="s" s="198">
        <v>105</v>
      </c>
      <c r="B119" s="114">
        <v>1</v>
      </c>
      <c r="C119" s="116">
        <v>2500</v>
      </c>
      <c r="D119" s="114">
        <v>1</v>
      </c>
      <c r="E119" s="116" cm="1">
        <f t="array" ref="E119">B119*C119*D119</f>
        <v>2500</v>
      </c>
      <c r="F119" s="117" cm="1">
        <f t="array" ref="F119">E119*0.1</f>
        <v>250</v>
      </c>
      <c r="G119" s="199" cm="1">
        <f t="array" ref="G119">E119+F119</f>
        <v>2750</v>
      </c>
      <c r="H119" s="200"/>
      <c r="I119" s="200"/>
    </row>
    <row r="120" ht="19" customHeight="1">
      <c r="A120" t="s" s="201">
        <v>106</v>
      </c>
      <c r="B120" s="202">
        <v>2</v>
      </c>
      <c r="C120" s="203">
        <v>2500</v>
      </c>
      <c r="D120" s="202">
        <v>1</v>
      </c>
      <c r="E120" s="203" cm="1">
        <f t="array" ref="E120">B120*C120*D120</f>
        <v>5000</v>
      </c>
      <c r="F120" s="204" cm="1">
        <f t="array" ref="F120">E120*0.1</f>
        <v>500</v>
      </c>
      <c r="G120" s="207" cm="1">
        <f t="array" ref="G120">E120+F120</f>
        <v>5500</v>
      </c>
      <c r="H120" s="208"/>
      <c r="I120" s="208"/>
    </row>
    <row r="121" ht="30.8" customHeight="1">
      <c r="A121" t="s" s="220">
        <v>46</v>
      </c>
      <c r="B121" s="221">
        <v>1</v>
      </c>
      <c r="C121" s="222">
        <v>8100</v>
      </c>
      <c r="D121" s="221">
        <v>1</v>
      </c>
      <c r="E121" s="222" cm="1">
        <f t="array" ref="E121">B121*C121*D121</f>
        <v>8100</v>
      </c>
      <c r="F121" s="223" cm="1">
        <f t="array" ref="F121">E121*0.1</f>
        <v>810</v>
      </c>
      <c r="G121" s="224" cm="1">
        <f t="array" ref="G121">E121+F121</f>
        <v>8910</v>
      </c>
      <c r="H121" s="225"/>
      <c r="I121" s="225"/>
    </row>
    <row r="122" ht="20.95" customHeight="1">
      <c r="A122" t="s" s="186">
        <v>109</v>
      </c>
      <c r="B122" s="187"/>
      <c r="C122" s="188"/>
      <c r="D122" s="187"/>
      <c r="E122" s="188"/>
      <c r="F122" s="189"/>
      <c r="G122" s="190" cm="1">
        <f t="array" ref="G122">G123+G129+G133+G137+G142</f>
        <v>578160</v>
      </c>
      <c r="H122" s="191"/>
      <c r="I122" s="191"/>
    </row>
    <row r="123" ht="20.95" customHeight="1">
      <c r="A123" t="s" s="192">
        <v>93</v>
      </c>
      <c r="B123" s="193"/>
      <c r="C123" s="194"/>
      <c r="D123" s="193"/>
      <c r="E123" s="194"/>
      <c r="F123" s="195"/>
      <c r="G123" s="196" cm="1">
        <f t="array" ref="G123">SUM(G124:G127)</f>
        <v>298100</v>
      </c>
      <c r="H123" s="197"/>
      <c r="I123" s="197"/>
    </row>
    <row r="124" ht="32" customHeight="1">
      <c r="A124" t="s" s="198">
        <v>94</v>
      </c>
      <c r="B124" s="114">
        <v>100</v>
      </c>
      <c r="C124" s="116">
        <v>710</v>
      </c>
      <c r="D124" s="114">
        <v>1</v>
      </c>
      <c r="E124" s="116" cm="1">
        <f t="array" ref="E124">B124*C124*D124</f>
        <v>71000</v>
      </c>
      <c r="F124" s="117" cm="1">
        <f t="array" ref="F124">E124*0.1</f>
        <v>7100</v>
      </c>
      <c r="G124" s="199" cm="1">
        <f t="array" ref="G124">E124+F124</f>
        <v>78100</v>
      </c>
      <c r="H124" s="200"/>
      <c r="I124" s="200"/>
    </row>
    <row r="125" ht="32" customHeight="1">
      <c r="A125" t="s" s="198">
        <v>95</v>
      </c>
      <c r="B125" s="114">
        <v>100</v>
      </c>
      <c r="C125" s="116">
        <v>600</v>
      </c>
      <c r="D125" s="114">
        <v>1</v>
      </c>
      <c r="E125" s="116" cm="1">
        <f t="array" ref="E125">B125*C125*D125</f>
        <v>60000</v>
      </c>
      <c r="F125" s="117" cm="1">
        <f t="array" ref="F125">E125*0.1</f>
        <v>6000</v>
      </c>
      <c r="G125" s="199" cm="1">
        <f t="array" ref="G125">E125+F125</f>
        <v>66000</v>
      </c>
      <c r="H125" s="200"/>
      <c r="I125" s="200"/>
    </row>
    <row r="126" ht="20.95" customHeight="1">
      <c r="A126" t="s" s="198">
        <v>96</v>
      </c>
      <c r="B126" s="114">
        <v>100</v>
      </c>
      <c r="C126" s="116">
        <v>1100</v>
      </c>
      <c r="D126" s="114">
        <v>1</v>
      </c>
      <c r="E126" s="116" cm="1">
        <f t="array" ref="E126">B126*C126*D126</f>
        <v>110000</v>
      </c>
      <c r="F126" s="117" cm="1">
        <f t="array" ref="F126">E126*0.1</f>
        <v>11000</v>
      </c>
      <c r="G126" s="199" cm="1">
        <f t="array" ref="G126">E126+F126</f>
        <v>121000</v>
      </c>
      <c r="H126" s="200"/>
      <c r="I126" s="200"/>
    </row>
    <row r="127" ht="20.95" customHeight="1">
      <c r="A127" t="s" s="198">
        <v>97</v>
      </c>
      <c r="B127" s="114">
        <v>100</v>
      </c>
      <c r="C127" s="116">
        <v>300</v>
      </c>
      <c r="D127" s="114">
        <v>1</v>
      </c>
      <c r="E127" s="116" cm="1">
        <f t="array" ref="E127">B127*C127*D127</f>
        <v>30000</v>
      </c>
      <c r="F127" s="117" cm="1">
        <f t="array" ref="F127">E127*0.1</f>
        <v>3000</v>
      </c>
      <c r="G127" s="199" cm="1">
        <f t="array" ref="G127">E127+F127</f>
        <v>33000</v>
      </c>
      <c r="H127" s="200"/>
      <c r="I127" s="200"/>
    </row>
    <row r="128" ht="20.95" customHeight="1">
      <c r="A128" t="s" s="201">
        <v>43</v>
      </c>
      <c r="B128" s="202">
        <v>100</v>
      </c>
      <c r="C128" s="203">
        <v>100</v>
      </c>
      <c r="D128" s="202">
        <v>1</v>
      </c>
      <c r="E128" s="203" cm="1">
        <f t="array" ref="E128">B128*C128*D128</f>
        <v>10000</v>
      </c>
      <c r="F128" s="204" cm="1">
        <f t="array" ref="F128">E128*0.1</f>
        <v>1000</v>
      </c>
      <c r="G128" s="207"/>
      <c r="H128" s="208">
        <v>11000</v>
      </c>
      <c r="I128" s="208"/>
    </row>
    <row r="129" ht="20.95" customHeight="1">
      <c r="A129" t="s" s="192">
        <v>21</v>
      </c>
      <c r="B129" s="193"/>
      <c r="C129" s="194"/>
      <c r="D129" s="193"/>
      <c r="E129" s="194"/>
      <c r="F129" s="195"/>
      <c r="G129" s="196" cm="1">
        <f t="array" ref="G129">SUM(G130:G132)</f>
        <v>78540</v>
      </c>
      <c r="H129" s="197"/>
      <c r="I129" s="197"/>
    </row>
    <row r="130" ht="32" customHeight="1">
      <c r="A130" t="s" s="198">
        <v>98</v>
      </c>
      <c r="B130" s="114">
        <v>6</v>
      </c>
      <c r="C130" s="116">
        <v>7100</v>
      </c>
      <c r="D130" s="114">
        <v>1</v>
      </c>
      <c r="E130" s="116" cm="1">
        <f t="array" ref="E130">B130*C130*D130</f>
        <v>42600</v>
      </c>
      <c r="F130" s="117" cm="1">
        <f t="array" ref="F130">E130*0.1</f>
        <v>4260</v>
      </c>
      <c r="G130" s="199" cm="1">
        <f t="array" ref="G130">E130+F130</f>
        <v>46860</v>
      </c>
      <c r="H130" s="200"/>
      <c r="I130" s="200"/>
    </row>
    <row r="131" ht="20.95" customHeight="1">
      <c r="A131" t="s" s="209">
        <v>99</v>
      </c>
      <c r="B131" s="114">
        <v>6</v>
      </c>
      <c r="C131" s="116">
        <v>1800</v>
      </c>
      <c r="D131" s="114">
        <v>1</v>
      </c>
      <c r="E131" s="116" cm="1">
        <f t="array" ref="E131">B131*C131*D131</f>
        <v>10800</v>
      </c>
      <c r="F131" s="117" cm="1">
        <f t="array" ref="F131">E131*0.1</f>
        <v>1080</v>
      </c>
      <c r="G131" s="199" cm="1">
        <f t="array" ref="G131">E131+F131</f>
        <v>11880</v>
      </c>
      <c r="H131" s="200"/>
      <c r="I131" s="200"/>
    </row>
    <row r="132" ht="20.95" customHeight="1">
      <c r="A132" t="s" s="198">
        <v>100</v>
      </c>
      <c r="B132" s="114">
        <v>6</v>
      </c>
      <c r="C132" s="116">
        <v>3000</v>
      </c>
      <c r="D132" s="114">
        <v>1</v>
      </c>
      <c r="E132" s="116" cm="1">
        <f t="array" ref="E132">B132*C132*D132</f>
        <v>18000</v>
      </c>
      <c r="F132" s="117" cm="1">
        <f t="array" ref="F132">E132*0.1</f>
        <v>1800</v>
      </c>
      <c r="G132" s="199" cm="1">
        <f t="array" ref="G132">E132+F132</f>
        <v>19800</v>
      </c>
      <c r="H132" s="200"/>
      <c r="I132" s="200"/>
    </row>
    <row r="133" ht="20.95" customHeight="1">
      <c r="A133" t="s" s="210">
        <v>101</v>
      </c>
      <c r="B133" s="211"/>
      <c r="C133" s="212"/>
      <c r="D133" s="211"/>
      <c r="E133" s="212"/>
      <c r="F133" s="213"/>
      <c r="G133" s="205" cm="1">
        <f t="array" ref="G133">SUM(G134:G136)</f>
        <v>26180</v>
      </c>
      <c r="H133" s="206"/>
      <c r="I133" s="206"/>
    </row>
    <row r="134" ht="32" customHeight="1">
      <c r="A134" t="s" s="198">
        <v>98</v>
      </c>
      <c r="B134" s="114">
        <v>2</v>
      </c>
      <c r="C134" s="116">
        <v>7100</v>
      </c>
      <c r="D134" s="114">
        <v>1</v>
      </c>
      <c r="E134" s="116" cm="1">
        <f t="array" ref="E134">B134*C134*D134</f>
        <v>14200</v>
      </c>
      <c r="F134" s="117" cm="1">
        <f t="array" ref="F134">E134*0.1</f>
        <v>1420</v>
      </c>
      <c r="G134" s="199" cm="1">
        <f t="array" ref="G134">E134+F134</f>
        <v>15620</v>
      </c>
      <c r="H134" s="200"/>
      <c r="I134" s="200"/>
    </row>
    <row r="135" ht="20.95" customHeight="1">
      <c r="A135" t="s" s="198">
        <v>99</v>
      </c>
      <c r="B135" s="114">
        <v>2</v>
      </c>
      <c r="C135" s="116">
        <v>1800</v>
      </c>
      <c r="D135" s="114">
        <v>1</v>
      </c>
      <c r="E135" s="116" cm="1">
        <f t="array" ref="E135">B135*C135*D135</f>
        <v>3600</v>
      </c>
      <c r="F135" s="117" cm="1">
        <f t="array" ref="F135">E135*0.1</f>
        <v>360</v>
      </c>
      <c r="G135" s="199" cm="1">
        <f t="array" ref="G135">E135+F135</f>
        <v>3960</v>
      </c>
      <c r="H135" s="200"/>
      <c r="I135" s="200"/>
    </row>
    <row r="136" ht="20.95" customHeight="1">
      <c r="A136" t="s" s="198">
        <v>100</v>
      </c>
      <c r="B136" s="114">
        <v>2</v>
      </c>
      <c r="C136" s="116">
        <v>3000</v>
      </c>
      <c r="D136" s="114">
        <v>1</v>
      </c>
      <c r="E136" s="116" cm="1">
        <f t="array" ref="E136">B136*C136*D136</f>
        <v>6000</v>
      </c>
      <c r="F136" s="117" cm="1">
        <f t="array" ref="F136">E136*0.1</f>
        <v>600</v>
      </c>
      <c r="G136" s="199" cm="1">
        <f t="array" ref="G136">E136+F136</f>
        <v>6600</v>
      </c>
      <c r="H136" s="200"/>
      <c r="I136" s="200"/>
    </row>
    <row r="137" ht="20.95" customHeight="1">
      <c r="A137" t="s" s="198">
        <v>102</v>
      </c>
      <c r="B137" s="114"/>
      <c r="C137" s="116"/>
      <c r="D137" s="114"/>
      <c r="E137" s="116"/>
      <c r="F137" s="117"/>
      <c r="G137" s="199" cm="1">
        <f t="array" ref="G137">SUM(G138:G141)</f>
        <v>131340</v>
      </c>
      <c r="H137" s="200"/>
      <c r="I137" s="200"/>
    </row>
    <row r="138" ht="20.95" customHeight="1">
      <c r="A138" t="s" s="226">
        <v>103</v>
      </c>
      <c r="B138" s="227">
        <v>3</v>
      </c>
      <c r="C138" s="228">
        <v>15700</v>
      </c>
      <c r="D138" s="227">
        <v>1</v>
      </c>
      <c r="E138" s="228" cm="1">
        <f t="array" ref="E138">B138*C138*D138</f>
        <v>47100</v>
      </c>
      <c r="F138" s="229" cm="1">
        <f t="array" ref="F138">E138*0.1</f>
        <v>4710</v>
      </c>
      <c r="G138" s="230" cm="1">
        <f t="array" ref="G138">E138+F138</f>
        <v>51810</v>
      </c>
      <c r="H138" s="231"/>
      <c r="I138" s="231"/>
    </row>
    <row r="139" ht="20.95" customHeight="1">
      <c r="A139" t="s" s="192">
        <v>104</v>
      </c>
      <c r="B139" s="193">
        <v>6</v>
      </c>
      <c r="C139" s="194">
        <v>8600</v>
      </c>
      <c r="D139" s="193">
        <v>1</v>
      </c>
      <c r="E139" s="194" cm="1">
        <f t="array" ref="E139">B139*C139*D139</f>
        <v>51600</v>
      </c>
      <c r="F139" s="232" cm="1">
        <f t="array" ref="F139">E139*0.1</f>
        <v>5160</v>
      </c>
      <c r="G139" s="196" cm="1">
        <f t="array" ref="G139">E139+F139</f>
        <v>56760</v>
      </c>
      <c r="H139" s="197"/>
      <c r="I139" s="197"/>
    </row>
    <row r="140" ht="20.95" customHeight="1">
      <c r="A140" t="s" s="198">
        <v>105</v>
      </c>
      <c r="B140" s="114">
        <v>1</v>
      </c>
      <c r="C140" s="116">
        <v>15700</v>
      </c>
      <c r="D140" s="114">
        <v>1</v>
      </c>
      <c r="E140" s="116" cm="1">
        <f t="array" ref="E140">B140*C140*D140</f>
        <v>15700</v>
      </c>
      <c r="F140" s="117" cm="1">
        <f t="array" ref="F140">E140*0.1</f>
        <v>1570</v>
      </c>
      <c r="G140" s="199" cm="1">
        <f t="array" ref="G140">E140+F140</f>
        <v>17270</v>
      </c>
      <c r="H140" s="200"/>
      <c r="I140" s="200"/>
    </row>
    <row r="141" ht="20.95" customHeight="1">
      <c r="A141" t="s" s="209">
        <v>106</v>
      </c>
      <c r="B141" s="114">
        <v>2</v>
      </c>
      <c r="C141" s="116">
        <v>2500</v>
      </c>
      <c r="D141" s="114">
        <v>1</v>
      </c>
      <c r="E141" s="116" cm="1">
        <f t="array" ref="E141">B141*C141*D141</f>
        <v>5000</v>
      </c>
      <c r="F141" s="117" cm="1">
        <f t="array" ref="F141">E141*0.1</f>
        <v>500</v>
      </c>
      <c r="G141" s="199" cm="1">
        <f t="array" ref="G141">E141+F141</f>
        <v>5500</v>
      </c>
      <c r="H141" s="200"/>
      <c r="I141" s="200"/>
    </row>
    <row r="142" ht="19" customHeight="1">
      <c r="A142" t="s" s="233">
        <v>46</v>
      </c>
      <c r="B142" s="234">
        <v>1</v>
      </c>
      <c r="C142" s="235">
        <v>40000</v>
      </c>
      <c r="D142" s="234">
        <v>1</v>
      </c>
      <c r="E142" s="235" cm="1">
        <f t="array" ref="E142">B142*C142*D142</f>
        <v>40000</v>
      </c>
      <c r="F142" s="236" cm="1">
        <f t="array" ref="F142">E142*0.1</f>
        <v>4000</v>
      </c>
      <c r="G142" s="237" cm="1">
        <f t="array" ref="G142">E142+F142</f>
        <v>44000</v>
      </c>
      <c r="H142" s="238"/>
      <c r="I142" s="238"/>
    </row>
    <row r="143" ht="19" customHeight="1">
      <c r="A143" s="239"/>
      <c r="B143" s="240"/>
      <c r="C143" s="241"/>
      <c r="D143" s="240"/>
      <c r="E143" s="241"/>
      <c r="F143" s="242"/>
      <c r="G143" s="243"/>
      <c r="H143" s="243"/>
      <c r="I143" s="243"/>
    </row>
    <row r="144" ht="19" customHeight="1">
      <c r="A144" s="244"/>
      <c r="B144" s="245"/>
      <c r="C144" s="246"/>
      <c r="D144" s="245"/>
      <c r="E144" s="246"/>
      <c r="F144" s="247"/>
      <c r="G144" s="248"/>
      <c r="H144" s="248"/>
      <c r="I144" s="248"/>
    </row>
    <row r="145" ht="55.15" customHeight="1">
      <c r="A145" t="s" s="249">
        <v>57</v>
      </c>
      <c r="B145" s="250"/>
      <c r="C145" s="250"/>
      <c r="D145" s="250"/>
      <c r="E145" s="250"/>
      <c r="F145" s="250"/>
      <c r="G145" s="251" cm="1">
        <f t="array" ref="G145">G4</f>
        <v>186600</v>
      </c>
      <c r="H145" s="251"/>
      <c r="I145" s="252"/>
    </row>
    <row r="146" ht="55.15" customHeight="1">
      <c r="A146" t="s" s="253">
        <v>63</v>
      </c>
      <c r="B146" s="254"/>
      <c r="C146" s="255"/>
      <c r="D146" s="254"/>
      <c r="E146" s="255"/>
      <c r="F146" s="256"/>
      <c r="G146" s="257" cm="1">
        <f t="array" ref="G146">G11</f>
        <v>359200</v>
      </c>
      <c r="H146" s="258"/>
      <c r="I146" s="258"/>
    </row>
    <row r="147" ht="55.15" customHeight="1">
      <c r="A147" t="s" s="259">
        <v>76</v>
      </c>
      <c r="B147" s="260" cm="1">
        <f t="array" ref="B147">G37</f>
        <v>274450</v>
      </c>
      <c r="C147" s="261"/>
      <c r="D147" t="s" s="262">
        <v>110</v>
      </c>
      <c r="E147" s="263"/>
      <c r="F147" s="263"/>
      <c r="G147" s="264" cm="1">
        <f t="array" ref="G147">B147*D147</f>
        <v>1097800</v>
      </c>
      <c r="H147" s="265"/>
      <c r="I147" s="265"/>
    </row>
    <row r="148" ht="55.15" customHeight="1">
      <c r="A148" t="s" s="266">
        <v>91</v>
      </c>
      <c r="B148" s="267"/>
      <c r="C148" s="268"/>
      <c r="D148" s="267"/>
      <c r="E148" s="268"/>
      <c r="F148" s="269"/>
      <c r="G148" s="270" cm="1">
        <f t="array" ref="G148">G74</f>
        <v>1894226.4</v>
      </c>
      <c r="H148" s="271"/>
      <c r="I148" s="271"/>
    </row>
    <row r="149" ht="55.15" customHeight="1">
      <c r="A149" t="s" s="272">
        <v>111</v>
      </c>
      <c r="B149" s="273"/>
      <c r="C149" s="274"/>
      <c r="D149" s="273"/>
      <c r="E149" s="274"/>
      <c r="F149" s="275"/>
      <c r="G149" s="276"/>
      <c r="H149" s="277"/>
      <c r="I149" s="277" cm="1">
        <f t="array" ref="I149">SUM(I5:I6)+I8</f>
        <v>200000</v>
      </c>
    </row>
    <row r="150" ht="20" customHeight="1">
      <c r="A150" s="278"/>
      <c r="B150" s="279"/>
      <c r="C150" s="280"/>
      <c r="D150" s="279"/>
      <c r="E150" s="280"/>
      <c r="F150" s="281"/>
      <c r="G150" s="282"/>
      <c r="H150" s="282"/>
      <c r="I150" s="282"/>
    </row>
    <row r="151" ht="41.05" customHeight="1">
      <c r="A151" t="s" s="283">
        <v>112</v>
      </c>
      <c r="B151" s="284"/>
      <c r="C151" s="285"/>
      <c r="D151" s="284"/>
      <c r="E151" s="285"/>
      <c r="F151" s="286"/>
      <c r="G151" s="287" cm="1">
        <f t="array" ref="G151">SUM(G145:G148)</f>
        <v>3537826.4</v>
      </c>
      <c r="H151" s="288"/>
      <c r="I151" s="288"/>
    </row>
    <row r="152" ht="61.9" customHeight="1">
      <c r="A152" t="s" s="289">
        <v>113</v>
      </c>
      <c r="B152" s="290"/>
      <c r="C152" s="291"/>
      <c r="D152" s="290"/>
      <c r="E152" s="291"/>
      <c r="F152" s="292"/>
      <c r="G152" s="293"/>
      <c r="H152" s="293"/>
      <c r="I152" s="293"/>
    </row>
  </sheetData>
  <mergeCells count="2">
    <mergeCell ref="A1:G1"/>
    <mergeCell ref="B147:C147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I152"/>
  <sheetViews>
    <sheetView workbookViewId="0" showGridLines="0" defaultGridColor="1">
      <pane topLeftCell="B4" xSplit="1" ySplit="3" activePane="bottomRight" state="frozen"/>
    </sheetView>
  </sheetViews>
  <sheetFormatPr defaultColWidth="16.3333" defaultRowHeight="19.9" customHeight="1" outlineLevelRow="0" outlineLevelCol="0"/>
  <cols>
    <col min="1" max="1" width="78.8828" style="294" customWidth="1"/>
    <col min="2" max="2" width="13.9219" style="294" customWidth="1"/>
    <col min="3" max="3" width="13.8125" style="294" customWidth="1"/>
    <col min="4" max="4" width="12.5234" style="294" customWidth="1"/>
    <col min="5" max="5" width="12.8047" style="294" customWidth="1"/>
    <col min="6" max="6" width="11.8203" style="294" customWidth="1"/>
    <col min="7" max="7" width="19.2266" style="294" customWidth="1"/>
    <col min="8" max="8" width="13.3516" style="294" customWidth="1"/>
    <col min="9" max="9" width="19.2266" style="294" customWidth="1"/>
    <col min="10" max="16384" width="16.3516" style="294" customWidth="1"/>
  </cols>
  <sheetData>
    <row r="1" ht="81" customHeight="1">
      <c r="A1" t="s" s="105">
        <v>114</v>
      </c>
      <c r="B1" s="3"/>
      <c r="C1" s="3"/>
      <c r="D1" s="3"/>
      <c r="E1" s="3"/>
      <c r="F1" s="3"/>
      <c r="G1" s="4"/>
      <c r="H1" s="106"/>
      <c r="I1" s="105"/>
    </row>
    <row r="2" ht="18.3" customHeight="1">
      <c r="A2" s="107"/>
      <c r="B2" s="107"/>
      <c r="C2" s="107"/>
      <c r="D2" s="107"/>
      <c r="E2" s="107"/>
      <c r="F2" s="107"/>
      <c r="G2" s="107"/>
      <c r="H2" s="107"/>
      <c r="I2" s="107"/>
    </row>
    <row r="3" ht="47.8" customHeight="1">
      <c r="A3" s="108"/>
      <c r="B3" t="s" s="108">
        <v>1</v>
      </c>
      <c r="C3" t="s" s="108">
        <v>2</v>
      </c>
      <c r="D3" t="s" s="108">
        <v>3</v>
      </c>
      <c r="E3" t="s" s="108">
        <v>4</v>
      </c>
      <c r="F3" t="s" s="108">
        <v>5</v>
      </c>
      <c r="G3" t="s" s="108">
        <v>6</v>
      </c>
      <c r="H3" t="s" s="108">
        <v>55</v>
      </c>
      <c r="I3" t="s" s="108">
        <v>56</v>
      </c>
    </row>
    <row r="4" ht="52.3" customHeight="1">
      <c r="A4" t="s" s="109">
        <v>57</v>
      </c>
      <c r="B4" s="110"/>
      <c r="C4" s="110"/>
      <c r="D4" s="110"/>
      <c r="E4" s="110"/>
      <c r="F4" s="110"/>
      <c r="G4" s="111" cm="1">
        <f t="array" ref="G4">SUM(G5:G9)</f>
        <v>186600</v>
      </c>
      <c r="H4" s="112"/>
      <c r="I4" s="112"/>
    </row>
    <row r="5" ht="29.55" customHeight="1">
      <c r="A5" t="s" s="113">
        <v>58</v>
      </c>
      <c r="B5" s="114">
        <v>1</v>
      </c>
      <c r="C5" s="115"/>
      <c r="D5" s="114"/>
      <c r="E5" s="116"/>
      <c r="F5" s="117"/>
      <c r="G5" s="118" cm="1">
        <f t="array" ref="G5">E5+F5</f>
        <v>0</v>
      </c>
      <c r="H5" s="119"/>
      <c r="I5" s="119">
        <v>65000</v>
      </c>
    </row>
    <row r="6" ht="29.55" customHeight="1">
      <c r="A6" t="s" s="113">
        <v>59</v>
      </c>
      <c r="B6" s="114">
        <v>1</v>
      </c>
      <c r="C6" s="115"/>
      <c r="D6" s="114"/>
      <c r="E6" s="116"/>
      <c r="F6" s="117"/>
      <c r="G6" s="118" cm="1">
        <f t="array" ref="G6">E6+F6</f>
        <v>0</v>
      </c>
      <c r="H6" s="119"/>
      <c r="I6" s="119">
        <v>135000</v>
      </c>
    </row>
    <row r="7" ht="100.45" customHeight="1">
      <c r="A7" t="s" s="120">
        <v>60</v>
      </c>
      <c r="B7" s="114">
        <v>1</v>
      </c>
      <c r="C7" s="116">
        <v>43000</v>
      </c>
      <c r="D7" s="114">
        <v>1</v>
      </c>
      <c r="E7" s="116" cm="1">
        <f t="array" ref="E7">B7*C7*D7</f>
        <v>43000</v>
      </c>
      <c r="F7" s="117"/>
      <c r="G7" s="118" cm="1">
        <f t="array" ref="G7">E7+F7</f>
        <v>43000</v>
      </c>
      <c r="H7" s="119"/>
      <c r="I7" s="119"/>
    </row>
    <row r="8" ht="100.45" customHeight="1">
      <c r="A8" t="s" s="120">
        <v>61</v>
      </c>
      <c r="B8" s="114">
        <v>1</v>
      </c>
      <c r="C8" s="116">
        <v>73200</v>
      </c>
      <c r="D8" s="114">
        <v>1</v>
      </c>
      <c r="E8" s="116" cm="1">
        <f t="array" ref="E8">B8*C8*D8</f>
        <v>73200</v>
      </c>
      <c r="F8" s="117"/>
      <c r="G8" s="118" cm="1">
        <f t="array" ref="G8">E8+F8</f>
        <v>73200</v>
      </c>
      <c r="H8" s="119"/>
      <c r="I8" s="119"/>
    </row>
    <row r="9" ht="20.95" customHeight="1">
      <c r="A9" t="s" s="121">
        <v>62</v>
      </c>
      <c r="B9" s="122">
        <v>400</v>
      </c>
      <c r="C9" s="123">
        <v>160</v>
      </c>
      <c r="D9" s="122">
        <v>1</v>
      </c>
      <c r="E9" s="123" cm="1">
        <f t="array" ref="E9">B9*C9*D9</f>
        <v>64000</v>
      </c>
      <c r="F9" s="124" cm="1">
        <f t="array" ref="F9">E9*0.1</f>
        <v>6400</v>
      </c>
      <c r="G9" s="125" cm="1">
        <f t="array" ref="G9">E9+F9</f>
        <v>70400</v>
      </c>
      <c r="H9" s="126"/>
      <c r="I9" s="126"/>
    </row>
    <row r="10" ht="28" customHeight="1">
      <c r="A10" s="127"/>
      <c r="B10" s="128"/>
      <c r="C10" s="129"/>
      <c r="D10" s="128"/>
      <c r="E10" s="129"/>
      <c r="F10" s="127"/>
      <c r="G10" s="129"/>
      <c r="H10" s="129"/>
      <c r="I10" s="129"/>
    </row>
    <row r="11" ht="57.15" customHeight="1">
      <c r="A11" t="s" s="130">
        <v>63</v>
      </c>
      <c r="B11" s="131"/>
      <c r="C11" s="132"/>
      <c r="D11" s="131"/>
      <c r="E11" s="132"/>
      <c r="F11" s="133"/>
      <c r="G11" s="134" cm="1">
        <f t="array" ref="G11">SUM(G12:G35)</f>
        <v>359200</v>
      </c>
      <c r="H11" s="135"/>
      <c r="I11" s="135"/>
    </row>
    <row r="12" ht="21.4" customHeight="1">
      <c r="A12" t="s" s="136">
        <v>64</v>
      </c>
      <c r="B12" s="114"/>
      <c r="C12" s="116"/>
      <c r="D12" s="114"/>
      <c r="E12" s="116"/>
      <c r="F12" s="117"/>
      <c r="G12" s="137"/>
      <c r="H12" s="138"/>
      <c r="I12" s="138"/>
    </row>
    <row r="13" ht="21.4" customHeight="1">
      <c r="A13" t="s" s="139">
        <v>65</v>
      </c>
      <c r="B13" s="114">
        <v>2</v>
      </c>
      <c r="C13" s="116">
        <v>26000</v>
      </c>
      <c r="D13" s="114">
        <v>1</v>
      </c>
      <c r="E13" s="116" cm="1">
        <f t="array" ref="E13">B13*C13*D13</f>
        <v>52000</v>
      </c>
      <c r="F13" s="117"/>
      <c r="G13" s="137" cm="1">
        <f t="array" ref="G13">E13+F13</f>
        <v>52000</v>
      </c>
      <c r="H13" s="138"/>
      <c r="I13" s="138"/>
    </row>
    <row r="14" ht="21.4" customHeight="1">
      <c r="A14" t="s" s="136">
        <v>66</v>
      </c>
      <c r="B14" s="114"/>
      <c r="C14" s="116"/>
      <c r="D14" s="114"/>
      <c r="E14" s="116"/>
      <c r="F14" s="117"/>
      <c r="G14" s="137"/>
      <c r="H14" s="138"/>
      <c r="I14" s="138"/>
    </row>
    <row r="15" ht="33.05" customHeight="1">
      <c r="A15" t="s" s="139">
        <v>67</v>
      </c>
      <c r="B15" s="114">
        <v>8</v>
      </c>
      <c r="C15" s="116">
        <v>1350</v>
      </c>
      <c r="D15" s="114">
        <v>1</v>
      </c>
      <c r="E15" s="116" cm="1">
        <f t="array" ref="E15">B15*C15*D15</f>
        <v>10800</v>
      </c>
      <c r="F15" s="117"/>
      <c r="G15" s="137" cm="1">
        <f t="array" ref="G15">E15+F15</f>
        <v>10800</v>
      </c>
      <c r="H15" s="138"/>
      <c r="I15" s="138"/>
    </row>
    <row r="16" ht="21.4" customHeight="1">
      <c r="A16" t="s" s="136">
        <v>68</v>
      </c>
      <c r="B16" s="114"/>
      <c r="C16" s="116"/>
      <c r="D16" s="114"/>
      <c r="E16" s="116"/>
      <c r="F16" s="117"/>
      <c r="G16" s="137"/>
      <c r="H16" s="138"/>
      <c r="I16" s="138"/>
    </row>
    <row r="17" ht="21.4" customHeight="1">
      <c r="A17" t="s" s="139">
        <v>69</v>
      </c>
      <c r="B17" s="114">
        <v>2</v>
      </c>
      <c r="C17" s="116">
        <v>26000</v>
      </c>
      <c r="D17" s="114">
        <v>1</v>
      </c>
      <c r="E17" s="116" cm="1">
        <f t="array" ref="E17">B17*C17*D17</f>
        <v>52000</v>
      </c>
      <c r="F17" s="117"/>
      <c r="G17" s="137" cm="1">
        <f t="array" ref="G17">E17+F17</f>
        <v>52000</v>
      </c>
      <c r="H17" s="138"/>
      <c r="I17" s="138"/>
    </row>
    <row r="18" ht="21.4" customHeight="1">
      <c r="A18" t="s" s="139">
        <v>70</v>
      </c>
      <c r="B18" s="114">
        <v>1</v>
      </c>
      <c r="C18" s="116">
        <v>17000</v>
      </c>
      <c r="D18" s="114">
        <v>1</v>
      </c>
      <c r="E18" s="116" cm="1">
        <f t="array" ref="E18">B18*C18*D18</f>
        <v>17000</v>
      </c>
      <c r="F18" s="117"/>
      <c r="G18" s="137" cm="1">
        <f t="array" ref="G18">E18+F18</f>
        <v>17000</v>
      </c>
      <c r="H18" s="138"/>
      <c r="I18" s="138"/>
    </row>
    <row r="19" ht="21.4" customHeight="1">
      <c r="A19" t="s" s="139">
        <v>71</v>
      </c>
      <c r="B19" s="114">
        <v>2</v>
      </c>
      <c r="C19" s="116">
        <v>1350</v>
      </c>
      <c r="D19" s="114">
        <v>1</v>
      </c>
      <c r="E19" s="116" cm="1">
        <f t="array" ref="E19">B19*C19*D19</f>
        <v>2700</v>
      </c>
      <c r="F19" s="117"/>
      <c r="G19" s="137" cm="1">
        <f t="array" ref="G19">E19+F19</f>
        <v>2700</v>
      </c>
      <c r="H19" s="138"/>
      <c r="I19" s="138"/>
    </row>
    <row r="20" ht="21.4" customHeight="1">
      <c r="A20" t="s" s="139">
        <v>72</v>
      </c>
      <c r="B20" s="114">
        <v>2</v>
      </c>
      <c r="C20" s="116">
        <v>1200</v>
      </c>
      <c r="D20" s="114">
        <v>1</v>
      </c>
      <c r="E20" s="116" cm="1">
        <f t="array" ref="E20">B20*C20*D20</f>
        <v>2400</v>
      </c>
      <c r="F20" s="117"/>
      <c r="G20" s="137" cm="1">
        <f t="array" ref="G20">E20+F20</f>
        <v>2400</v>
      </c>
      <c r="H20" s="138"/>
      <c r="I20" s="138"/>
    </row>
    <row r="21" ht="21.4" customHeight="1">
      <c r="A21" t="s" s="136">
        <v>73</v>
      </c>
      <c r="B21" s="114"/>
      <c r="C21" s="116"/>
      <c r="D21" s="114"/>
      <c r="E21" s="116"/>
      <c r="F21" s="117"/>
      <c r="G21" s="137"/>
      <c r="H21" s="138"/>
      <c r="I21" s="138"/>
    </row>
    <row r="22" ht="21.4" customHeight="1">
      <c r="A22" t="s" s="139">
        <v>69</v>
      </c>
      <c r="B22" s="114">
        <v>2</v>
      </c>
      <c r="C22" s="116">
        <v>26000</v>
      </c>
      <c r="D22" s="114">
        <v>1</v>
      </c>
      <c r="E22" s="116" cm="1">
        <f t="array" ref="E22">B22*C22*D22</f>
        <v>52000</v>
      </c>
      <c r="F22" s="117"/>
      <c r="G22" s="137" cm="1">
        <f t="array" ref="G22">E22+F22</f>
        <v>52000</v>
      </c>
      <c r="H22" s="138"/>
      <c r="I22" s="138"/>
    </row>
    <row r="23" ht="21.4" customHeight="1">
      <c r="A23" t="s" s="139">
        <v>70</v>
      </c>
      <c r="B23" s="114">
        <v>1</v>
      </c>
      <c r="C23" s="116">
        <v>17000</v>
      </c>
      <c r="D23" s="114">
        <v>1</v>
      </c>
      <c r="E23" s="116" cm="1">
        <f t="array" ref="E23">B23*C23*D23</f>
        <v>17000</v>
      </c>
      <c r="F23" s="117"/>
      <c r="G23" s="137" cm="1">
        <f t="array" ref="G23">E23+F23</f>
        <v>17000</v>
      </c>
      <c r="H23" s="138"/>
      <c r="I23" s="138"/>
    </row>
    <row r="24" ht="21.4" customHeight="1">
      <c r="A24" t="s" s="139">
        <v>71</v>
      </c>
      <c r="B24" s="114">
        <v>2</v>
      </c>
      <c r="C24" s="116">
        <v>1350</v>
      </c>
      <c r="D24" s="114">
        <v>1</v>
      </c>
      <c r="E24" s="116" cm="1">
        <f t="array" ref="E24">B24*C24*D24</f>
        <v>2700</v>
      </c>
      <c r="F24" s="117"/>
      <c r="G24" s="137" cm="1">
        <f t="array" ref="G24">E24+F24</f>
        <v>2700</v>
      </c>
      <c r="H24" s="138"/>
      <c r="I24" s="138"/>
    </row>
    <row r="25" ht="21.4" customHeight="1">
      <c r="A25" t="s" s="139">
        <v>72</v>
      </c>
      <c r="B25" s="114">
        <v>2</v>
      </c>
      <c r="C25" s="116">
        <v>1200</v>
      </c>
      <c r="D25" s="114">
        <v>1</v>
      </c>
      <c r="E25" s="116" cm="1">
        <f t="array" ref="E25">B25*C25*D25</f>
        <v>2400</v>
      </c>
      <c r="F25" s="117"/>
      <c r="G25" s="137" cm="1">
        <f t="array" ref="G25">E25+F25</f>
        <v>2400</v>
      </c>
      <c r="H25" s="138"/>
      <c r="I25" s="138"/>
    </row>
    <row r="26" ht="21.4" customHeight="1">
      <c r="A26" t="s" s="136">
        <v>74</v>
      </c>
      <c r="B26" s="114"/>
      <c r="C26" s="116"/>
      <c r="D26" s="114"/>
      <c r="E26" s="116"/>
      <c r="F26" s="117"/>
      <c r="G26" s="137"/>
      <c r="H26" s="138"/>
      <c r="I26" s="138"/>
    </row>
    <row r="27" ht="21.4" customHeight="1">
      <c r="A27" t="s" s="139">
        <v>69</v>
      </c>
      <c r="B27" s="114">
        <v>2</v>
      </c>
      <c r="C27" s="116">
        <v>26000</v>
      </c>
      <c r="D27" s="114">
        <v>1</v>
      </c>
      <c r="E27" s="116" cm="1">
        <f t="array" ref="E27">B27*C27*D27</f>
        <v>52000</v>
      </c>
      <c r="F27" s="117"/>
      <c r="G27" s="137" cm="1">
        <f t="array" ref="G27">E27+F27</f>
        <v>52000</v>
      </c>
      <c r="H27" s="138"/>
      <c r="I27" s="138"/>
    </row>
    <row r="28" ht="21.4" customHeight="1">
      <c r="A28" t="s" s="139">
        <v>70</v>
      </c>
      <c r="B28" s="114">
        <v>1</v>
      </c>
      <c r="C28" s="116">
        <v>17000</v>
      </c>
      <c r="D28" s="114">
        <v>1</v>
      </c>
      <c r="E28" s="116" cm="1">
        <f t="array" ref="E28">B28*C28*D28</f>
        <v>17000</v>
      </c>
      <c r="F28" s="117"/>
      <c r="G28" s="137" cm="1">
        <f t="array" ref="G28">E28+F28</f>
        <v>17000</v>
      </c>
      <c r="H28" s="138"/>
      <c r="I28" s="138"/>
    </row>
    <row r="29" ht="21.4" customHeight="1">
      <c r="A29" t="s" s="139">
        <v>71</v>
      </c>
      <c r="B29" s="114">
        <v>2</v>
      </c>
      <c r="C29" s="116">
        <v>1350</v>
      </c>
      <c r="D29" s="114">
        <v>1</v>
      </c>
      <c r="E29" s="116" cm="1">
        <f t="array" ref="E29">B29*C29*D29</f>
        <v>2700</v>
      </c>
      <c r="F29" s="117"/>
      <c r="G29" s="137" cm="1">
        <f t="array" ref="G29">E29+F29</f>
        <v>2700</v>
      </c>
      <c r="H29" s="138"/>
      <c r="I29" s="138"/>
    </row>
    <row r="30" ht="21.4" customHeight="1">
      <c r="A30" t="s" s="139">
        <v>72</v>
      </c>
      <c r="B30" s="114">
        <v>2</v>
      </c>
      <c r="C30" s="116">
        <v>1200</v>
      </c>
      <c r="D30" s="114">
        <v>1</v>
      </c>
      <c r="E30" s="116" cm="1">
        <f t="array" ref="E30">B30*C30*D30</f>
        <v>2400</v>
      </c>
      <c r="F30" s="117"/>
      <c r="G30" s="137" cm="1">
        <f t="array" ref="G30">E30+F30</f>
        <v>2400</v>
      </c>
      <c r="H30" s="138"/>
      <c r="I30" s="138"/>
    </row>
    <row r="31" ht="21.4" customHeight="1">
      <c r="A31" t="s" s="136">
        <v>75</v>
      </c>
      <c r="B31" s="114"/>
      <c r="C31" s="116"/>
      <c r="D31" s="114"/>
      <c r="E31" s="116"/>
      <c r="F31" s="117"/>
      <c r="G31" s="137"/>
      <c r="H31" s="138"/>
      <c r="I31" s="138"/>
    </row>
    <row r="32" ht="21.4" customHeight="1">
      <c r="A32" t="s" s="139">
        <v>69</v>
      </c>
      <c r="B32" s="114">
        <v>2</v>
      </c>
      <c r="C32" s="116">
        <v>26000</v>
      </c>
      <c r="D32" s="114">
        <v>1</v>
      </c>
      <c r="E32" s="116" cm="1">
        <f t="array" ref="E32">B32*C32*D32</f>
        <v>52000</v>
      </c>
      <c r="F32" s="117"/>
      <c r="G32" s="137" cm="1">
        <f t="array" ref="G32">E32+F32</f>
        <v>52000</v>
      </c>
      <c r="H32" s="138"/>
      <c r="I32" s="138"/>
    </row>
    <row r="33" ht="21.4" customHeight="1">
      <c r="A33" t="s" s="139">
        <v>70</v>
      </c>
      <c r="B33" s="114">
        <v>1</v>
      </c>
      <c r="C33" s="116">
        <v>17000</v>
      </c>
      <c r="D33" s="114">
        <v>1</v>
      </c>
      <c r="E33" s="116" cm="1">
        <f t="array" ref="E33">B33*C33*D33</f>
        <v>17000</v>
      </c>
      <c r="F33" s="117"/>
      <c r="G33" s="137" cm="1">
        <f t="array" ref="G33">E33+F33</f>
        <v>17000</v>
      </c>
      <c r="H33" s="138"/>
      <c r="I33" s="138"/>
    </row>
    <row r="34" ht="21.4" customHeight="1">
      <c r="A34" t="s" s="139">
        <v>71</v>
      </c>
      <c r="B34" s="114">
        <v>2</v>
      </c>
      <c r="C34" s="116">
        <v>1350</v>
      </c>
      <c r="D34" s="114">
        <v>1</v>
      </c>
      <c r="E34" s="116" cm="1">
        <f t="array" ref="E34">B34*C34*D34</f>
        <v>2700</v>
      </c>
      <c r="F34" s="117"/>
      <c r="G34" s="137" cm="1">
        <f t="array" ref="G34">E34+F34</f>
        <v>2700</v>
      </c>
      <c r="H34" s="138"/>
      <c r="I34" s="138"/>
    </row>
    <row r="35" ht="36.6" customHeight="1">
      <c r="A35" t="s" s="140">
        <v>72</v>
      </c>
      <c r="B35" s="141">
        <v>2</v>
      </c>
      <c r="C35" s="142">
        <v>1200</v>
      </c>
      <c r="D35" s="141">
        <v>1</v>
      </c>
      <c r="E35" s="142" cm="1">
        <f t="array" ref="E35">B35*C35*D35</f>
        <v>2400</v>
      </c>
      <c r="F35" s="143"/>
      <c r="G35" s="144" cm="1">
        <f t="array" ref="G35">E35+F35</f>
        <v>2400</v>
      </c>
      <c r="H35" s="145"/>
      <c r="I35" s="145"/>
    </row>
    <row r="36" ht="28.5" customHeight="1">
      <c r="A36" s="146"/>
      <c r="B36" s="147"/>
      <c r="C36" s="146"/>
      <c r="D36" s="147"/>
      <c r="E36" s="146"/>
      <c r="F36" s="146"/>
      <c r="G36" s="146"/>
      <c r="H36" s="146"/>
      <c r="I36" s="146"/>
    </row>
    <row r="37" ht="50.9" customHeight="1">
      <c r="A37" t="s" s="148">
        <v>76</v>
      </c>
      <c r="B37" s="149"/>
      <c r="C37" s="150"/>
      <c r="D37" s="149"/>
      <c r="E37" s="150"/>
      <c r="F37" s="151"/>
      <c r="G37" s="152" cm="1">
        <f t="array" ref="G37">SUM(G39:G72)</f>
        <v>274450</v>
      </c>
      <c r="H37" s="153"/>
      <c r="I37" s="153" cm="1">
        <f t="array" ref="I37">G37*7</f>
        <v>1921150</v>
      </c>
    </row>
    <row r="38" ht="20.45" customHeight="1">
      <c r="A38" t="s" s="154">
        <v>77</v>
      </c>
      <c r="B38" s="155"/>
      <c r="C38" s="156"/>
      <c r="D38" s="155"/>
      <c r="E38" s="156"/>
      <c r="F38" s="157"/>
      <c r="G38" s="158"/>
      <c r="H38" s="159"/>
      <c r="I38" s="159"/>
    </row>
    <row r="39" ht="32" customHeight="1">
      <c r="A39" t="s" s="160">
        <v>78</v>
      </c>
      <c r="B39" s="114">
        <v>1</v>
      </c>
      <c r="C39" s="116">
        <v>82000</v>
      </c>
      <c r="D39" s="114">
        <v>1</v>
      </c>
      <c r="E39" s="116" cm="1">
        <f t="array" ref="E39">B39*C39*D39</f>
        <v>82000</v>
      </c>
      <c r="F39" s="117" cm="1">
        <f t="array" ref="F39">E39*0.1</f>
        <v>8200</v>
      </c>
      <c r="G39" s="161" cm="1">
        <f t="array" ref="G39">E39+F39</f>
        <v>90200</v>
      </c>
      <c r="H39" s="162"/>
      <c r="I39" s="162"/>
    </row>
    <row r="40" ht="32" customHeight="1">
      <c r="A40" t="s" s="160">
        <v>79</v>
      </c>
      <c r="B40" s="114">
        <v>1</v>
      </c>
      <c r="C40" s="116">
        <v>4900</v>
      </c>
      <c r="D40" s="114">
        <v>1</v>
      </c>
      <c r="E40" s="116" cm="1">
        <f t="array" ref="E40">B40*C40*D40</f>
        <v>4900</v>
      </c>
      <c r="F40" s="117" cm="1">
        <f t="array" ref="F40">E40*0.1</f>
        <v>490</v>
      </c>
      <c r="G40" s="161" cm="1">
        <f t="array" ref="G40">E40+F40</f>
        <v>5390</v>
      </c>
      <c r="H40" s="162"/>
      <c r="I40" s="162"/>
    </row>
    <row r="41" ht="18" customHeight="1">
      <c r="A41" t="s" s="160">
        <v>80</v>
      </c>
      <c r="B41" s="114">
        <v>1</v>
      </c>
      <c r="C41" s="116">
        <v>9100</v>
      </c>
      <c r="D41" s="114">
        <v>1</v>
      </c>
      <c r="E41" s="116" cm="1">
        <f t="array" ref="E41">B41*C41*D41</f>
        <v>9100</v>
      </c>
      <c r="F41" s="117" cm="1">
        <f t="array" ref="F41">E41*0.1</f>
        <v>910</v>
      </c>
      <c r="G41" s="161" cm="1">
        <f t="array" ref="G41">E41+F41</f>
        <v>10010</v>
      </c>
      <c r="H41" s="162"/>
      <c r="I41" s="162"/>
    </row>
    <row r="42" ht="18" customHeight="1">
      <c r="A42" t="s" s="160">
        <v>81</v>
      </c>
      <c r="B42" s="114">
        <v>1</v>
      </c>
      <c r="C42" s="116">
        <v>1600</v>
      </c>
      <c r="D42" s="114">
        <v>1</v>
      </c>
      <c r="E42" s="116" cm="1">
        <f t="array" ref="E42">B42*C42*D42</f>
        <v>1600</v>
      </c>
      <c r="F42" s="117" cm="1">
        <f t="array" ref="F42">E42*0.1</f>
        <v>160</v>
      </c>
      <c r="G42" s="161" cm="1">
        <f t="array" ref="G42">E42+F42</f>
        <v>1760</v>
      </c>
      <c r="H42" s="162"/>
      <c r="I42" s="162"/>
    </row>
    <row r="43" ht="18" customHeight="1">
      <c r="A43" t="s" s="160">
        <v>82</v>
      </c>
      <c r="B43" s="114">
        <v>1</v>
      </c>
      <c r="C43" s="116">
        <v>12100</v>
      </c>
      <c r="D43" s="114">
        <v>1</v>
      </c>
      <c r="E43" s="116" cm="1">
        <f t="array" ref="E43">B43*C43*D43</f>
        <v>12100</v>
      </c>
      <c r="F43" s="117" cm="1">
        <f t="array" ref="F43">E43*0.1</f>
        <v>1210</v>
      </c>
      <c r="G43" s="161" cm="1">
        <f t="array" ref="G43">E43+F43</f>
        <v>13310</v>
      </c>
      <c r="H43" s="162"/>
      <c r="I43" s="162"/>
    </row>
    <row r="44" ht="32" customHeight="1">
      <c r="A44" t="s" s="160">
        <v>83</v>
      </c>
      <c r="B44" s="114">
        <v>1</v>
      </c>
      <c r="C44" s="116">
        <v>9100</v>
      </c>
      <c r="D44" s="114">
        <v>1</v>
      </c>
      <c r="E44" s="116" cm="1">
        <f t="array" ref="E44">B44*C44*D44</f>
        <v>9100</v>
      </c>
      <c r="F44" s="117" cm="1">
        <f t="array" ref="F44">E44*0.1</f>
        <v>910</v>
      </c>
      <c r="G44" s="161" cm="1">
        <f t="array" ref="G44">E44+F44</f>
        <v>10010</v>
      </c>
      <c r="H44" s="162"/>
      <c r="I44" s="162"/>
    </row>
    <row r="45" ht="18" customHeight="1">
      <c r="A45" t="s" s="163">
        <v>84</v>
      </c>
      <c r="B45" s="164">
        <v>1</v>
      </c>
      <c r="C45" s="165">
        <v>4100</v>
      </c>
      <c r="D45" s="164">
        <v>1</v>
      </c>
      <c r="E45" s="165" cm="1">
        <f t="array" ref="E45">B45*C45*D45</f>
        <v>4100</v>
      </c>
      <c r="F45" s="166" cm="1">
        <f t="array" ref="F45">E45*0.1</f>
        <v>410</v>
      </c>
      <c r="G45" s="167" cm="1">
        <f t="array" ref="G45">E45+F45</f>
        <v>4510</v>
      </c>
      <c r="H45" s="168"/>
      <c r="I45" s="168"/>
    </row>
    <row r="46" ht="20.45" customHeight="1">
      <c r="A46" t="s" s="154">
        <v>68</v>
      </c>
      <c r="B46" s="155"/>
      <c r="C46" s="156"/>
      <c r="D46" s="155"/>
      <c r="E46" s="156"/>
      <c r="F46" s="157"/>
      <c r="G46" s="158"/>
      <c r="H46" s="159"/>
      <c r="I46" s="159"/>
    </row>
    <row r="47" ht="18" customHeight="1">
      <c r="A47" t="s" s="160">
        <v>85</v>
      </c>
      <c r="B47" s="114">
        <v>1</v>
      </c>
      <c r="C47" s="116">
        <v>3600</v>
      </c>
      <c r="D47" s="114">
        <v>1</v>
      </c>
      <c r="E47" s="116" cm="1">
        <f t="array" ref="E47">B47*C47*D47</f>
        <v>3600</v>
      </c>
      <c r="F47" s="117" cm="1">
        <f t="array" ref="F47">E47*0.1</f>
        <v>360</v>
      </c>
      <c r="G47" s="161" cm="1">
        <f t="array" ref="G47">E47+F47</f>
        <v>3960</v>
      </c>
      <c r="H47" s="162"/>
      <c r="I47" s="162"/>
    </row>
    <row r="48" ht="18" customHeight="1">
      <c r="A48" t="s" s="160">
        <v>86</v>
      </c>
      <c r="B48" s="114">
        <v>1</v>
      </c>
      <c r="C48" s="116">
        <v>3600</v>
      </c>
      <c r="D48" s="114">
        <v>1</v>
      </c>
      <c r="E48" s="116" cm="1">
        <f t="array" ref="E48">B48*C48*D48</f>
        <v>3600</v>
      </c>
      <c r="F48" s="117" cm="1">
        <f t="array" ref="F48">E48*0.1</f>
        <v>360</v>
      </c>
      <c r="G48" s="161" cm="1">
        <f t="array" ref="G48">E48+F48</f>
        <v>3960</v>
      </c>
      <c r="H48" s="162"/>
      <c r="I48" s="162"/>
    </row>
    <row r="49" ht="18" customHeight="1">
      <c r="A49" t="s" s="160">
        <v>87</v>
      </c>
      <c r="B49" s="114">
        <v>1</v>
      </c>
      <c r="C49" s="116">
        <v>6500</v>
      </c>
      <c r="D49" s="114">
        <v>1</v>
      </c>
      <c r="E49" s="116" cm="1">
        <f t="array" ref="E49">B49*C49*D49</f>
        <v>6500</v>
      </c>
      <c r="F49" s="117" cm="1">
        <f t="array" ref="F49">E49*0.1</f>
        <v>650</v>
      </c>
      <c r="G49" s="161" cm="1">
        <f t="array" ref="G49">E49+F49</f>
        <v>7150</v>
      </c>
      <c r="H49" s="162"/>
      <c r="I49" s="162"/>
    </row>
    <row r="50" ht="18" customHeight="1">
      <c r="A50" t="s" s="160">
        <v>70</v>
      </c>
      <c r="B50" s="114">
        <v>1</v>
      </c>
      <c r="C50" s="116">
        <v>12000</v>
      </c>
      <c r="D50" s="114">
        <v>1</v>
      </c>
      <c r="E50" s="116" cm="1">
        <f t="array" ref="E50">B50*C50*D50</f>
        <v>12000</v>
      </c>
      <c r="F50" s="117" cm="1">
        <f t="array" ref="F50">E50*0.1</f>
        <v>1200</v>
      </c>
      <c r="G50" s="161" cm="1">
        <f t="array" ref="G50">E50+F50</f>
        <v>13200</v>
      </c>
      <c r="H50" s="162"/>
      <c r="I50" s="162"/>
    </row>
    <row r="51" ht="18" customHeight="1">
      <c r="A51" t="s" s="160">
        <v>88</v>
      </c>
      <c r="B51" s="114">
        <v>2</v>
      </c>
      <c r="C51" s="116">
        <v>1700</v>
      </c>
      <c r="D51" s="114">
        <v>1</v>
      </c>
      <c r="E51" s="116" cm="1">
        <f t="array" ref="E51">B51*C51*D51</f>
        <v>3400</v>
      </c>
      <c r="F51" s="117" cm="1">
        <f t="array" ref="F51">E51*0.1</f>
        <v>340</v>
      </c>
      <c r="G51" s="161" cm="1">
        <f t="array" ref="G51">E51+F51</f>
        <v>3740</v>
      </c>
      <c r="H51" s="162"/>
      <c r="I51" s="162"/>
    </row>
    <row r="52" ht="18" customHeight="1">
      <c r="A52" t="s" s="163">
        <v>89</v>
      </c>
      <c r="B52" s="164">
        <v>1</v>
      </c>
      <c r="C52" s="165">
        <v>2500</v>
      </c>
      <c r="D52" s="164">
        <v>1</v>
      </c>
      <c r="E52" s="165" cm="1">
        <f t="array" ref="E52">B52*C52*D52</f>
        <v>2500</v>
      </c>
      <c r="F52" s="166" cm="1">
        <f t="array" ref="F52">E52*0.1</f>
        <v>250</v>
      </c>
      <c r="G52" s="167" cm="1">
        <f t="array" ref="G52">E52+F52</f>
        <v>2750</v>
      </c>
      <c r="H52" s="168"/>
      <c r="I52" s="168"/>
    </row>
    <row r="53" ht="20.45" customHeight="1">
      <c r="A53" t="s" s="154">
        <v>73</v>
      </c>
      <c r="B53" s="155"/>
      <c r="C53" s="156"/>
      <c r="D53" s="155"/>
      <c r="E53" s="156"/>
      <c r="F53" s="157"/>
      <c r="G53" s="158"/>
      <c r="H53" s="159"/>
      <c r="I53" s="159"/>
    </row>
    <row r="54" ht="18" customHeight="1">
      <c r="A54" t="s" s="160">
        <v>85</v>
      </c>
      <c r="B54" s="114">
        <v>1</v>
      </c>
      <c r="C54" s="116">
        <v>3600</v>
      </c>
      <c r="D54" s="114">
        <v>1</v>
      </c>
      <c r="E54" s="116" cm="1">
        <f t="array" ref="E54">B54*C54*D54</f>
        <v>3600</v>
      </c>
      <c r="F54" s="117" cm="1">
        <f t="array" ref="F54">E54*0.1</f>
        <v>360</v>
      </c>
      <c r="G54" s="161" cm="1">
        <f t="array" ref="G54">E54+F54</f>
        <v>3960</v>
      </c>
      <c r="H54" s="162"/>
      <c r="I54" s="162"/>
    </row>
    <row r="55" ht="18" customHeight="1">
      <c r="A55" t="s" s="160">
        <v>86</v>
      </c>
      <c r="B55" s="114">
        <v>1</v>
      </c>
      <c r="C55" s="116">
        <v>3600</v>
      </c>
      <c r="D55" s="114">
        <v>1</v>
      </c>
      <c r="E55" s="116" cm="1">
        <f t="array" ref="E55">B55*C55*D55</f>
        <v>3600</v>
      </c>
      <c r="F55" s="117" cm="1">
        <f t="array" ref="F55">E55*0.1</f>
        <v>360</v>
      </c>
      <c r="G55" s="161" cm="1">
        <f t="array" ref="G55">E55+F55</f>
        <v>3960</v>
      </c>
      <c r="H55" s="162"/>
      <c r="I55" s="162"/>
    </row>
    <row r="56" ht="18" customHeight="1">
      <c r="A56" t="s" s="160">
        <v>87</v>
      </c>
      <c r="B56" s="114">
        <v>1</v>
      </c>
      <c r="C56" s="116">
        <v>6500</v>
      </c>
      <c r="D56" s="114">
        <v>1</v>
      </c>
      <c r="E56" s="116" cm="1">
        <f t="array" ref="E56">B56*C56*D56</f>
        <v>6500</v>
      </c>
      <c r="F56" s="117" cm="1">
        <f t="array" ref="F56">E56*0.1</f>
        <v>650</v>
      </c>
      <c r="G56" s="161" cm="1">
        <f t="array" ref="G56">E56+F56</f>
        <v>7150</v>
      </c>
      <c r="H56" s="162"/>
      <c r="I56" s="162"/>
    </row>
    <row r="57" ht="18" customHeight="1">
      <c r="A57" t="s" s="160">
        <v>88</v>
      </c>
      <c r="B57" s="114">
        <v>2</v>
      </c>
      <c r="C57" s="116">
        <v>1700</v>
      </c>
      <c r="D57" s="114">
        <v>1</v>
      </c>
      <c r="E57" s="116" cm="1">
        <f t="array" ref="E57">B57*C57*D57</f>
        <v>3400</v>
      </c>
      <c r="F57" s="117" cm="1">
        <f t="array" ref="F57">E57*0.1</f>
        <v>340</v>
      </c>
      <c r="G57" s="161" cm="1">
        <f t="array" ref="G57">E57+F57</f>
        <v>3740</v>
      </c>
      <c r="H57" s="162"/>
      <c r="I57" s="162"/>
    </row>
    <row r="58" ht="18" customHeight="1">
      <c r="A58" t="s" s="163">
        <v>89</v>
      </c>
      <c r="B58" s="164">
        <v>1</v>
      </c>
      <c r="C58" s="165">
        <v>2500</v>
      </c>
      <c r="D58" s="164">
        <v>1</v>
      </c>
      <c r="E58" s="165" cm="1">
        <f t="array" ref="E58">B58*C58*D58</f>
        <v>2500</v>
      </c>
      <c r="F58" s="166" cm="1">
        <f t="array" ref="F58">E58*0.1</f>
        <v>250</v>
      </c>
      <c r="G58" s="167" cm="1">
        <f t="array" ref="G58">E58+F58</f>
        <v>2750</v>
      </c>
      <c r="H58" s="168"/>
      <c r="I58" s="168"/>
    </row>
    <row r="59" ht="20.45" customHeight="1">
      <c r="A59" t="s" s="154">
        <v>74</v>
      </c>
      <c r="B59" s="155"/>
      <c r="C59" s="156"/>
      <c r="D59" s="155"/>
      <c r="E59" s="156"/>
      <c r="F59" s="157"/>
      <c r="G59" s="158"/>
      <c r="H59" s="159"/>
      <c r="I59" s="159"/>
    </row>
    <row r="60" ht="18" customHeight="1">
      <c r="A60" t="s" s="160">
        <v>85</v>
      </c>
      <c r="B60" s="114">
        <v>1</v>
      </c>
      <c r="C60" s="116">
        <v>7500</v>
      </c>
      <c r="D60" s="114">
        <v>1</v>
      </c>
      <c r="E60" s="116" cm="1">
        <f t="array" ref="E60">B60*C60*D60</f>
        <v>7500</v>
      </c>
      <c r="F60" s="117" cm="1">
        <f t="array" ref="F60">E60*0.1</f>
        <v>750</v>
      </c>
      <c r="G60" s="161" cm="1">
        <f t="array" ref="G60">E60+F60</f>
        <v>8250</v>
      </c>
      <c r="H60" s="162"/>
      <c r="I60" s="162"/>
    </row>
    <row r="61" ht="18" customHeight="1">
      <c r="A61" t="s" s="160">
        <v>86</v>
      </c>
      <c r="B61" s="114">
        <v>1</v>
      </c>
      <c r="C61" s="116">
        <v>6250</v>
      </c>
      <c r="D61" s="114">
        <v>1</v>
      </c>
      <c r="E61" s="116" cm="1">
        <f t="array" ref="E61">B61*C61*D61</f>
        <v>6250</v>
      </c>
      <c r="F61" s="117" cm="1">
        <f t="array" ref="F61">E61*0.1</f>
        <v>625</v>
      </c>
      <c r="G61" s="161" cm="1">
        <f t="array" ref="G61">E61+F61</f>
        <v>6875</v>
      </c>
      <c r="H61" s="162"/>
      <c r="I61" s="162"/>
    </row>
    <row r="62" ht="18" customHeight="1">
      <c r="A62" t="s" s="160">
        <v>87</v>
      </c>
      <c r="B62" s="114">
        <v>1</v>
      </c>
      <c r="C62" s="116">
        <v>6500</v>
      </c>
      <c r="D62" s="114">
        <v>1</v>
      </c>
      <c r="E62" s="116" cm="1">
        <f t="array" ref="E62">B62*C62*D62</f>
        <v>6500</v>
      </c>
      <c r="F62" s="117" cm="1">
        <f t="array" ref="F62">E62*0.1</f>
        <v>650</v>
      </c>
      <c r="G62" s="161" cm="1">
        <f t="array" ref="G62">E62+F62</f>
        <v>7150</v>
      </c>
      <c r="H62" s="162"/>
      <c r="I62" s="162"/>
    </row>
    <row r="63" ht="18" customHeight="1">
      <c r="A63" t="s" s="160">
        <v>90</v>
      </c>
      <c r="B63" s="114">
        <v>1</v>
      </c>
      <c r="C63" s="116">
        <v>6100</v>
      </c>
      <c r="D63" s="114">
        <v>1</v>
      </c>
      <c r="E63" s="116" cm="1">
        <f t="array" ref="E63">B63*C63*D63</f>
        <v>6100</v>
      </c>
      <c r="F63" s="117" cm="1">
        <f t="array" ref="F63">E63*0.1</f>
        <v>610</v>
      </c>
      <c r="G63" s="161" cm="1">
        <f t="array" ref="G63">E63+F63</f>
        <v>6710</v>
      </c>
      <c r="H63" s="162"/>
      <c r="I63" s="162"/>
    </row>
    <row r="64" ht="18" customHeight="1">
      <c r="A64" t="s" s="160">
        <v>88</v>
      </c>
      <c r="B64" s="114">
        <v>2</v>
      </c>
      <c r="C64" s="116">
        <v>1700</v>
      </c>
      <c r="D64" s="114">
        <v>1</v>
      </c>
      <c r="E64" s="116" cm="1">
        <f t="array" ref="E64">B64*C64*D64</f>
        <v>3400</v>
      </c>
      <c r="F64" s="117" cm="1">
        <f t="array" ref="F64">E64*0.1</f>
        <v>340</v>
      </c>
      <c r="G64" s="161" cm="1">
        <f t="array" ref="G64">E64+F64</f>
        <v>3740</v>
      </c>
      <c r="H64" s="162"/>
      <c r="I64" s="162"/>
    </row>
    <row r="65" ht="18" customHeight="1">
      <c r="A65" t="s" s="163">
        <v>89</v>
      </c>
      <c r="B65" s="164">
        <v>1</v>
      </c>
      <c r="C65" s="165">
        <v>2500</v>
      </c>
      <c r="D65" s="164">
        <v>1</v>
      </c>
      <c r="E65" s="165" cm="1">
        <f t="array" ref="E65">B65*C65*D65</f>
        <v>2500</v>
      </c>
      <c r="F65" s="166" cm="1">
        <f t="array" ref="F65">E65*0.1</f>
        <v>250</v>
      </c>
      <c r="G65" s="167" cm="1">
        <f t="array" ref="G65">E65+F65</f>
        <v>2750</v>
      </c>
      <c r="H65" s="168"/>
      <c r="I65" s="168"/>
    </row>
    <row r="66" ht="20.45" customHeight="1">
      <c r="A66" t="s" s="154">
        <v>75</v>
      </c>
      <c r="B66" s="155"/>
      <c r="C66" s="156"/>
      <c r="D66" s="155"/>
      <c r="E66" s="156"/>
      <c r="F66" s="157"/>
      <c r="G66" s="158"/>
      <c r="H66" s="159"/>
      <c r="I66" s="159"/>
    </row>
    <row r="67" ht="18" customHeight="1">
      <c r="A67" t="s" s="160">
        <v>85</v>
      </c>
      <c r="B67" s="114">
        <v>1</v>
      </c>
      <c r="C67" s="116">
        <v>7500</v>
      </c>
      <c r="D67" s="114">
        <v>1</v>
      </c>
      <c r="E67" s="116" cm="1">
        <f t="array" ref="E67">B67*C67*D67</f>
        <v>7500</v>
      </c>
      <c r="F67" s="117" cm="1">
        <f t="array" ref="F67">E67*0.1</f>
        <v>750</v>
      </c>
      <c r="G67" s="161" cm="1">
        <f t="array" ref="G67">E67+F67</f>
        <v>8250</v>
      </c>
      <c r="H67" s="162"/>
      <c r="I67" s="162"/>
    </row>
    <row r="68" ht="18" customHeight="1">
      <c r="A68" t="s" s="160">
        <v>86</v>
      </c>
      <c r="B68" s="114">
        <v>1</v>
      </c>
      <c r="C68" s="116">
        <v>6250</v>
      </c>
      <c r="D68" s="114">
        <v>1</v>
      </c>
      <c r="E68" s="116" cm="1">
        <f t="array" ref="E68">B68*C68*D68</f>
        <v>6250</v>
      </c>
      <c r="F68" s="117" cm="1">
        <f t="array" ref="F68">E68*0.1</f>
        <v>625</v>
      </c>
      <c r="G68" s="161" cm="1">
        <f t="array" ref="G68">E68+F68</f>
        <v>6875</v>
      </c>
      <c r="H68" s="162"/>
      <c r="I68" s="162"/>
    </row>
    <row r="69" ht="18" customHeight="1">
      <c r="A69" t="s" s="160">
        <v>87</v>
      </c>
      <c r="B69" s="114">
        <v>1</v>
      </c>
      <c r="C69" s="116">
        <v>6500</v>
      </c>
      <c r="D69" s="114">
        <v>1</v>
      </c>
      <c r="E69" s="116" cm="1">
        <f t="array" ref="E69">B69*C69*D69</f>
        <v>6500</v>
      </c>
      <c r="F69" s="117" cm="1">
        <f t="array" ref="F69">E69*0.1</f>
        <v>650</v>
      </c>
      <c r="G69" s="161" cm="1">
        <f t="array" ref="G69">E69+F69</f>
        <v>7150</v>
      </c>
      <c r="H69" s="162"/>
      <c r="I69" s="162"/>
    </row>
    <row r="70" ht="18" customHeight="1">
      <c r="A70" t="s" s="160">
        <v>70</v>
      </c>
      <c r="B70" s="114">
        <v>1</v>
      </c>
      <c r="C70" s="116">
        <v>17000</v>
      </c>
      <c r="D70" s="114">
        <v>1</v>
      </c>
      <c r="E70" s="116" cm="1">
        <f t="array" ref="E70">B70*C70*D70</f>
        <v>17000</v>
      </c>
      <c r="F70" s="117" cm="1">
        <f t="array" ref="F70">E70*0.1</f>
        <v>1700</v>
      </c>
      <c r="G70" s="161" cm="1">
        <f t="array" ref="G70">E70+F70</f>
        <v>18700</v>
      </c>
      <c r="H70" s="162"/>
      <c r="I70" s="162"/>
    </row>
    <row r="71" ht="18" customHeight="1">
      <c r="A71" t="s" s="160">
        <v>88</v>
      </c>
      <c r="B71" s="114">
        <v>2</v>
      </c>
      <c r="C71" s="116">
        <v>1700</v>
      </c>
      <c r="D71" s="114">
        <v>1</v>
      </c>
      <c r="E71" s="116" cm="1">
        <f t="array" ref="E71">B71*C71*D71</f>
        <v>3400</v>
      </c>
      <c r="F71" s="117" cm="1">
        <f t="array" ref="F71">E71*0.1</f>
        <v>340</v>
      </c>
      <c r="G71" s="161" cm="1">
        <f t="array" ref="G71">E71+F71</f>
        <v>3740</v>
      </c>
      <c r="H71" s="162"/>
      <c r="I71" s="162"/>
    </row>
    <row r="72" ht="25" customHeight="1">
      <c r="A72" t="s" s="169">
        <v>89</v>
      </c>
      <c r="B72" s="170">
        <v>1</v>
      </c>
      <c r="C72" s="171">
        <v>2500</v>
      </c>
      <c r="D72" s="170">
        <v>1</v>
      </c>
      <c r="E72" s="171" cm="1">
        <f t="array" ref="E72">B72*C72*D72</f>
        <v>2500</v>
      </c>
      <c r="F72" s="172" cm="1">
        <f t="array" ref="F72">E72*0.1</f>
        <v>250</v>
      </c>
      <c r="G72" s="173" cm="1">
        <f t="array" ref="G72">E72+F72</f>
        <v>2750</v>
      </c>
      <c r="H72" s="174"/>
      <c r="I72" s="174"/>
    </row>
    <row r="73" ht="24.7" customHeight="1">
      <c r="A73" s="175"/>
      <c r="B73" s="176"/>
      <c r="C73" s="177"/>
      <c r="D73" s="176"/>
      <c r="E73" s="177"/>
      <c r="F73" s="178"/>
      <c r="G73" s="179"/>
      <c r="H73" s="179"/>
      <c r="I73" s="179"/>
    </row>
    <row r="74" ht="58.8" customHeight="1">
      <c r="A74" t="s" s="180">
        <v>91</v>
      </c>
      <c r="B74" s="181"/>
      <c r="C74" s="182"/>
      <c r="D74" s="181"/>
      <c r="E74" s="182"/>
      <c r="F74" s="183"/>
      <c r="G74" s="184" cm="1">
        <f t="array" ref="G74">G75+G96+G109+G122</f>
        <v>1831526.4</v>
      </c>
      <c r="H74" s="185"/>
      <c r="I74" s="185"/>
    </row>
    <row r="75" ht="24.7" customHeight="1">
      <c r="A75" t="s" s="186">
        <v>115</v>
      </c>
      <c r="B75" s="187"/>
      <c r="C75" s="188"/>
      <c r="D75" s="187"/>
      <c r="E75" s="188"/>
      <c r="F75" s="189"/>
      <c r="G75" s="190" cm="1">
        <f t="array" ref="G75">G76+G82+G86+G90+G95</f>
        <v>469506.4</v>
      </c>
      <c r="H75" s="191"/>
      <c r="I75" s="191"/>
    </row>
    <row r="76" ht="24.7" customHeight="1">
      <c r="A76" t="s" s="192">
        <v>93</v>
      </c>
      <c r="B76" s="193"/>
      <c r="C76" s="194"/>
      <c r="D76" s="193"/>
      <c r="E76" s="194"/>
      <c r="F76" s="195"/>
      <c r="G76" s="196" cm="1">
        <f t="array" ref="G76">SUM(G77:G80)</f>
        <v>235400</v>
      </c>
      <c r="H76" s="197"/>
      <c r="I76" s="197"/>
    </row>
    <row r="77" ht="38.2" customHeight="1">
      <c r="A77" t="s" s="198">
        <v>94</v>
      </c>
      <c r="B77" s="114">
        <v>100</v>
      </c>
      <c r="C77" s="116">
        <v>420</v>
      </c>
      <c r="D77" s="114">
        <v>1</v>
      </c>
      <c r="E77" s="116" cm="1">
        <f t="array" ref="E77">B77*C77*D77</f>
        <v>42000</v>
      </c>
      <c r="F77" s="117" cm="1">
        <f t="array" ref="F77">E77*0.1</f>
        <v>4200</v>
      </c>
      <c r="G77" s="199" cm="1">
        <f t="array" ref="G77">E77+F77</f>
        <v>46200</v>
      </c>
      <c r="H77" s="200"/>
      <c r="I77" s="200"/>
    </row>
    <row r="78" ht="32" customHeight="1">
      <c r="A78" t="s" s="198">
        <v>95</v>
      </c>
      <c r="B78" s="114">
        <v>100</v>
      </c>
      <c r="C78" s="116">
        <v>480</v>
      </c>
      <c r="D78" s="114">
        <v>1</v>
      </c>
      <c r="E78" s="116" cm="1">
        <f t="array" ref="E78">B78*C78*D78</f>
        <v>48000</v>
      </c>
      <c r="F78" s="117" cm="1">
        <f t="array" ref="F78">E78*0.1</f>
        <v>4800</v>
      </c>
      <c r="G78" s="199" cm="1">
        <f t="array" ref="G78">E78+F78</f>
        <v>52800</v>
      </c>
      <c r="H78" s="200"/>
      <c r="I78" s="200"/>
    </row>
    <row r="79" ht="24.7" customHeight="1">
      <c r="A79" t="s" s="198">
        <v>96</v>
      </c>
      <c r="B79" s="114">
        <v>100</v>
      </c>
      <c r="C79" s="116">
        <v>980</v>
      </c>
      <c r="D79" s="114">
        <v>1</v>
      </c>
      <c r="E79" s="116" cm="1">
        <f t="array" ref="E79">B79*C79*D79</f>
        <v>98000</v>
      </c>
      <c r="F79" s="117" cm="1">
        <f t="array" ref="F79">E79*0.1</f>
        <v>9800</v>
      </c>
      <c r="G79" s="199" cm="1">
        <f t="array" ref="G79">E79+F79</f>
        <v>107800</v>
      </c>
      <c r="H79" s="200"/>
      <c r="I79" s="200"/>
    </row>
    <row r="80" ht="24.7" customHeight="1">
      <c r="A80" t="s" s="198">
        <v>97</v>
      </c>
      <c r="B80" s="114">
        <v>100</v>
      </c>
      <c r="C80" s="116">
        <v>260</v>
      </c>
      <c r="D80" s="114">
        <v>1</v>
      </c>
      <c r="E80" s="116" cm="1">
        <f t="array" ref="E80">B80*C80*D80</f>
        <v>26000</v>
      </c>
      <c r="F80" s="117" cm="1">
        <f t="array" ref="F80">E80*0.1</f>
        <v>2600</v>
      </c>
      <c r="G80" s="199" cm="1">
        <f t="array" ref="G80">E80+F80</f>
        <v>28600</v>
      </c>
      <c r="H80" s="200"/>
      <c r="I80" s="200"/>
    </row>
    <row r="81" ht="24.7" customHeight="1">
      <c r="A81" t="s" s="201">
        <v>43</v>
      </c>
      <c r="B81" s="202">
        <v>100</v>
      </c>
      <c r="C81" s="203">
        <v>80</v>
      </c>
      <c r="D81" s="202">
        <v>1</v>
      </c>
      <c r="E81" s="203" cm="1">
        <f t="array" ref="E81">B81*C81*D81</f>
        <v>8000</v>
      </c>
      <c r="F81" s="204" cm="1">
        <f t="array" ref="F81">E81*0.1</f>
        <v>800</v>
      </c>
      <c r="G81" s="199"/>
      <c r="H81" s="200">
        <v>11000</v>
      </c>
      <c r="I81" s="200"/>
    </row>
    <row r="82" ht="24.7" customHeight="1">
      <c r="A82" t="s" s="192">
        <v>21</v>
      </c>
      <c r="B82" s="193"/>
      <c r="C82" s="194"/>
      <c r="D82" s="193"/>
      <c r="E82" s="194"/>
      <c r="F82" s="195"/>
      <c r="G82" s="205" cm="1">
        <f t="array" ref="G82">SUM(G83:G85)</f>
        <v>73279.8</v>
      </c>
      <c r="H82" s="206"/>
      <c r="I82" s="206"/>
    </row>
    <row r="83" ht="40.45" customHeight="1">
      <c r="A83" t="s" s="198">
        <v>98</v>
      </c>
      <c r="B83" s="114">
        <v>6</v>
      </c>
      <c r="C83" s="116">
        <v>6303</v>
      </c>
      <c r="D83" s="114">
        <v>1</v>
      </c>
      <c r="E83" s="116" cm="1">
        <f t="array" ref="E83">B83*C83*D83</f>
        <v>37818</v>
      </c>
      <c r="F83" s="117" cm="1">
        <f t="array" ref="F83">E83*0.1</f>
        <v>3781.8</v>
      </c>
      <c r="G83" s="199" cm="1">
        <f t="array" ref="G83">E83+F83</f>
        <v>41599.8</v>
      </c>
      <c r="H83" s="200"/>
      <c r="I83" s="200"/>
    </row>
    <row r="84" ht="24.7" customHeight="1">
      <c r="A84" t="s" s="198">
        <v>99</v>
      </c>
      <c r="B84" s="114">
        <v>6</v>
      </c>
      <c r="C84" s="116">
        <v>1800</v>
      </c>
      <c r="D84" s="114">
        <v>1</v>
      </c>
      <c r="E84" s="116" cm="1">
        <f t="array" ref="E84">B84*C84*D84</f>
        <v>10800</v>
      </c>
      <c r="F84" s="117" cm="1">
        <f t="array" ref="F84">E84*0.1</f>
        <v>1080</v>
      </c>
      <c r="G84" s="199" cm="1">
        <f t="array" ref="G84">E84+F84</f>
        <v>11880</v>
      </c>
      <c r="H84" s="200"/>
      <c r="I84" s="200"/>
    </row>
    <row r="85" ht="24.7" customHeight="1">
      <c r="A85" t="s" s="201">
        <v>100</v>
      </c>
      <c r="B85" s="202">
        <v>6</v>
      </c>
      <c r="C85" s="203">
        <v>3000</v>
      </c>
      <c r="D85" s="202">
        <v>1</v>
      </c>
      <c r="E85" s="203" cm="1">
        <f t="array" ref="E85">B85*C85*D85</f>
        <v>18000</v>
      </c>
      <c r="F85" s="204" cm="1">
        <f t="array" ref="F85">E85*0.1</f>
        <v>1800</v>
      </c>
      <c r="G85" s="207" cm="1">
        <f t="array" ref="G85">E85+F85</f>
        <v>19800</v>
      </c>
      <c r="H85" s="208"/>
      <c r="I85" s="208"/>
    </row>
    <row r="86" ht="24.7" customHeight="1">
      <c r="A86" t="s" s="192">
        <v>101</v>
      </c>
      <c r="B86" s="193"/>
      <c r="C86" s="194"/>
      <c r="D86" s="193"/>
      <c r="E86" s="194"/>
      <c r="F86" s="195"/>
      <c r="G86" s="196" cm="1">
        <f t="array" ref="G86">SUM(G87:G89)</f>
        <v>24426.6</v>
      </c>
      <c r="H86" s="197"/>
      <c r="I86" s="197"/>
    </row>
    <row r="87" ht="39.05" customHeight="1">
      <c r="A87" t="s" s="198">
        <v>98</v>
      </c>
      <c r="B87" s="114">
        <v>2</v>
      </c>
      <c r="C87" s="116">
        <v>6303</v>
      </c>
      <c r="D87" s="114">
        <v>1</v>
      </c>
      <c r="E87" s="116" cm="1">
        <f t="array" ref="E87">B87*C87*D87</f>
        <v>12606</v>
      </c>
      <c r="F87" s="117" cm="1">
        <f t="array" ref="F87">E87*0.1</f>
        <v>1260.6</v>
      </c>
      <c r="G87" s="199" cm="1">
        <f t="array" ref="G87">E87+F87</f>
        <v>13866.6</v>
      </c>
      <c r="H87" s="200"/>
      <c r="I87" s="200"/>
    </row>
    <row r="88" ht="24.7" customHeight="1">
      <c r="A88" t="s" s="209">
        <v>99</v>
      </c>
      <c r="B88" s="114">
        <v>2</v>
      </c>
      <c r="C88" s="116">
        <v>1800</v>
      </c>
      <c r="D88" s="114">
        <v>1</v>
      </c>
      <c r="E88" s="116" cm="1">
        <f t="array" ref="E88">B88*C88*D88</f>
        <v>3600</v>
      </c>
      <c r="F88" s="117" cm="1">
        <f t="array" ref="F88">E88*0.1</f>
        <v>360</v>
      </c>
      <c r="G88" s="199" cm="1">
        <f t="array" ref="G88">E88+F88</f>
        <v>3960</v>
      </c>
      <c r="H88" s="200"/>
      <c r="I88" s="200"/>
    </row>
    <row r="89" ht="24.7" customHeight="1">
      <c r="A89" t="s" s="198">
        <v>100</v>
      </c>
      <c r="B89" s="114">
        <v>2</v>
      </c>
      <c r="C89" s="116">
        <v>3000</v>
      </c>
      <c r="D89" s="114">
        <v>1</v>
      </c>
      <c r="E89" s="116" cm="1">
        <f t="array" ref="E89">B89*C89*D89</f>
        <v>6000</v>
      </c>
      <c r="F89" s="117" cm="1">
        <f t="array" ref="F89">E89*0.1</f>
        <v>600</v>
      </c>
      <c r="G89" s="199" cm="1">
        <f t="array" ref="G89">E89+F89</f>
        <v>6600</v>
      </c>
      <c r="H89" s="200"/>
      <c r="I89" s="200"/>
    </row>
    <row r="90" ht="24.7" customHeight="1">
      <c r="A90" t="s" s="210">
        <v>102</v>
      </c>
      <c r="B90" s="211"/>
      <c r="C90" s="212"/>
      <c r="D90" s="211"/>
      <c r="E90" s="212"/>
      <c r="F90" s="213"/>
      <c r="G90" s="205" cm="1">
        <f t="array" ref="G90">SUM(G91:G94)</f>
        <v>92400</v>
      </c>
      <c r="H90" s="206"/>
      <c r="I90" s="206"/>
    </row>
    <row r="91" ht="24.7" customHeight="1">
      <c r="A91" t="s" s="198">
        <v>103</v>
      </c>
      <c r="B91" s="114">
        <v>3</v>
      </c>
      <c r="C91" s="116">
        <v>10000</v>
      </c>
      <c r="D91" s="114">
        <v>1</v>
      </c>
      <c r="E91" s="116" cm="1">
        <f t="array" ref="E91">B91*C91*D91</f>
        <v>30000</v>
      </c>
      <c r="F91" s="117" cm="1">
        <f t="array" ref="F91">E91*0.1</f>
        <v>3000</v>
      </c>
      <c r="G91" s="199" cm="1">
        <f t="array" ref="G91">E91+F91</f>
        <v>33000</v>
      </c>
      <c r="H91" s="200"/>
      <c r="I91" s="200"/>
    </row>
    <row r="92" ht="24.7" customHeight="1">
      <c r="A92" t="s" s="198">
        <v>104</v>
      </c>
      <c r="B92" s="114">
        <v>6</v>
      </c>
      <c r="C92" s="116">
        <v>6500</v>
      </c>
      <c r="D92" s="114">
        <v>1</v>
      </c>
      <c r="E92" s="116" cm="1">
        <f t="array" ref="E92">B92*C92*D92</f>
        <v>39000</v>
      </c>
      <c r="F92" s="117" cm="1">
        <f t="array" ref="F92">E92*0.1</f>
        <v>3900</v>
      </c>
      <c r="G92" s="199" cm="1">
        <f t="array" ref="G92">E92+F92</f>
        <v>42900</v>
      </c>
      <c r="H92" s="200"/>
      <c r="I92" s="200"/>
    </row>
    <row r="93" ht="24.7" customHeight="1">
      <c r="A93" t="s" s="198">
        <v>105</v>
      </c>
      <c r="B93" s="114">
        <v>1</v>
      </c>
      <c r="C93" s="116">
        <v>10000</v>
      </c>
      <c r="D93" s="114">
        <v>1</v>
      </c>
      <c r="E93" s="116" cm="1">
        <f t="array" ref="E93">B93*C93*D93</f>
        <v>10000</v>
      </c>
      <c r="F93" s="117" cm="1">
        <f t="array" ref="F93">E93*0.1</f>
        <v>1000</v>
      </c>
      <c r="G93" s="199" cm="1">
        <f t="array" ref="G93">E93+F93</f>
        <v>11000</v>
      </c>
      <c r="H93" s="200"/>
      <c r="I93" s="200"/>
    </row>
    <row r="94" ht="24.7" customHeight="1">
      <c r="A94" t="s" s="198">
        <v>106</v>
      </c>
      <c r="B94" s="114">
        <v>2</v>
      </c>
      <c r="C94" s="116">
        <v>2500</v>
      </c>
      <c r="D94" s="114">
        <v>1</v>
      </c>
      <c r="E94" s="116" cm="1">
        <f t="array" ref="E94">B94*C94*D94</f>
        <v>5000</v>
      </c>
      <c r="F94" s="117" cm="1">
        <f t="array" ref="F94">E94*0.1</f>
        <v>500</v>
      </c>
      <c r="G94" s="199" cm="1">
        <f t="array" ref="G94">E94+F94</f>
        <v>5500</v>
      </c>
      <c r="H94" s="200"/>
      <c r="I94" s="200"/>
    </row>
    <row r="95" ht="24.7" customHeight="1">
      <c r="A95" t="s" s="214">
        <v>46</v>
      </c>
      <c r="B95" s="215">
        <v>1</v>
      </c>
      <c r="C95" s="216">
        <v>40000</v>
      </c>
      <c r="D95" s="215">
        <v>1</v>
      </c>
      <c r="E95" s="216" cm="1">
        <f t="array" ref="E95">B95*C95*D95</f>
        <v>40000</v>
      </c>
      <c r="F95" s="217" cm="1">
        <f t="array" ref="F95">E95*0.1</f>
        <v>4000</v>
      </c>
      <c r="G95" s="218" cm="1">
        <f t="array" ref="G95">E95+F95</f>
        <v>44000</v>
      </c>
      <c r="H95" s="219"/>
      <c r="I95" s="219"/>
    </row>
    <row r="96" ht="24.7" customHeight="1">
      <c r="A96" t="s" s="186">
        <v>107</v>
      </c>
      <c r="B96" s="187"/>
      <c r="C96" s="188"/>
      <c r="D96" s="187"/>
      <c r="E96" s="188"/>
      <c r="F96" s="189"/>
      <c r="G96" s="190" cm="1">
        <f t="array" ref="G96">G97+G103+G108</f>
        <v>394130</v>
      </c>
      <c r="H96" s="191"/>
      <c r="I96" s="191"/>
    </row>
    <row r="97" ht="24.7" customHeight="1">
      <c r="A97" t="s" s="192">
        <v>93</v>
      </c>
      <c r="B97" s="193"/>
      <c r="C97" s="194"/>
      <c r="D97" s="193"/>
      <c r="E97" s="194"/>
      <c r="F97" s="195"/>
      <c r="G97" s="196" cm="1">
        <f t="array" ref="G97">SUM(G98:G101)</f>
        <v>364100</v>
      </c>
      <c r="H97" s="197"/>
      <c r="I97" s="197"/>
    </row>
    <row r="98" ht="37.3" customHeight="1">
      <c r="A98" t="s" s="198">
        <v>94</v>
      </c>
      <c r="B98" s="114">
        <v>100</v>
      </c>
      <c r="C98" s="116">
        <v>910</v>
      </c>
      <c r="D98" s="114">
        <v>1</v>
      </c>
      <c r="E98" s="116" cm="1">
        <f t="array" ref="E98">B98*C98*D98</f>
        <v>91000</v>
      </c>
      <c r="F98" s="117" cm="1">
        <f t="array" ref="F98">E98*0.1</f>
        <v>9100</v>
      </c>
      <c r="G98" s="199" cm="1">
        <f t="array" ref="G98">E98+F98</f>
        <v>100100</v>
      </c>
      <c r="H98" s="200"/>
      <c r="I98" s="200"/>
    </row>
    <row r="99" ht="32" customHeight="1">
      <c r="A99" t="s" s="198">
        <v>95</v>
      </c>
      <c r="B99" s="114">
        <v>100</v>
      </c>
      <c r="C99" s="116">
        <v>750</v>
      </c>
      <c r="D99" s="114">
        <v>1</v>
      </c>
      <c r="E99" s="116" cm="1">
        <f t="array" ref="E99">B99*C99*D99</f>
        <v>75000</v>
      </c>
      <c r="F99" s="117" cm="1">
        <f t="array" ref="F99">E99*0.1</f>
        <v>7500</v>
      </c>
      <c r="G99" s="199" cm="1">
        <f t="array" ref="G99">E99+F99</f>
        <v>82500</v>
      </c>
      <c r="H99" s="200"/>
      <c r="I99" s="200"/>
    </row>
    <row r="100" ht="24.7" customHeight="1">
      <c r="A100" t="s" s="198">
        <v>96</v>
      </c>
      <c r="B100" s="114">
        <v>100</v>
      </c>
      <c r="C100" s="116">
        <v>1300</v>
      </c>
      <c r="D100" s="114">
        <v>1</v>
      </c>
      <c r="E100" s="116" cm="1">
        <f t="array" ref="E100">B100*C100*D100</f>
        <v>130000</v>
      </c>
      <c r="F100" s="117" cm="1">
        <f t="array" ref="F100">E100*0.1</f>
        <v>13000</v>
      </c>
      <c r="G100" s="199" cm="1">
        <f t="array" ref="G100">E100+F100</f>
        <v>143000</v>
      </c>
      <c r="H100" s="200"/>
      <c r="I100" s="200"/>
    </row>
    <row r="101" ht="24.7" customHeight="1">
      <c r="A101" t="s" s="198">
        <v>97</v>
      </c>
      <c r="B101" s="114">
        <v>100</v>
      </c>
      <c r="C101" s="116">
        <v>350</v>
      </c>
      <c r="D101" s="114">
        <v>1</v>
      </c>
      <c r="E101" s="116" cm="1">
        <f t="array" ref="E101">B101*C101*D101</f>
        <v>35000</v>
      </c>
      <c r="F101" s="117" cm="1">
        <f t="array" ref="F101">E101*0.1</f>
        <v>3500</v>
      </c>
      <c r="G101" s="199" cm="1">
        <f t="array" ref="G101">E101+F101</f>
        <v>38500</v>
      </c>
      <c r="H101" s="200"/>
      <c r="I101" s="200"/>
    </row>
    <row r="102" ht="24.7" customHeight="1">
      <c r="A102" t="s" s="198">
        <v>43</v>
      </c>
      <c r="B102" s="202">
        <v>100</v>
      </c>
      <c r="C102" s="203">
        <v>120</v>
      </c>
      <c r="D102" s="202">
        <v>1</v>
      </c>
      <c r="E102" s="203" cm="1">
        <f t="array" ref="E102">B102*C102*D102</f>
        <v>12000</v>
      </c>
      <c r="F102" s="204" cm="1">
        <f t="array" ref="F102">E102*0.1</f>
        <v>1200</v>
      </c>
      <c r="G102" s="207"/>
      <c r="H102" s="200">
        <v>13200</v>
      </c>
      <c r="I102" s="200"/>
    </row>
    <row r="103" ht="24.7" customHeight="1">
      <c r="A103" t="s" s="210">
        <v>102</v>
      </c>
      <c r="B103" s="193"/>
      <c r="C103" s="194"/>
      <c r="D103" s="193"/>
      <c r="E103" s="194"/>
      <c r="F103" s="195"/>
      <c r="G103" s="196" cm="1">
        <f t="array" ref="G103">SUM(G104:G107)</f>
        <v>21120</v>
      </c>
      <c r="H103" s="206"/>
      <c r="I103" s="206"/>
    </row>
    <row r="104" ht="24.7" customHeight="1">
      <c r="A104" t="s" s="198">
        <v>103</v>
      </c>
      <c r="B104" s="114">
        <v>3</v>
      </c>
      <c r="C104" s="116">
        <v>2100</v>
      </c>
      <c r="D104" s="114">
        <v>1</v>
      </c>
      <c r="E104" s="116" cm="1">
        <f t="array" ref="E104">B104*C104*D104</f>
        <v>6300</v>
      </c>
      <c r="F104" s="117" cm="1">
        <f t="array" ref="F104">E104*0.1</f>
        <v>630</v>
      </c>
      <c r="G104" s="199" cm="1">
        <f t="array" ref="G104">E104+F104</f>
        <v>6930</v>
      </c>
      <c r="H104" s="200"/>
      <c r="I104" s="200"/>
    </row>
    <row r="105" ht="24.7" customHeight="1">
      <c r="A105" t="s" s="198">
        <v>104</v>
      </c>
      <c r="B105" s="114">
        <v>6</v>
      </c>
      <c r="C105" s="116">
        <v>900</v>
      </c>
      <c r="D105" s="114">
        <v>1</v>
      </c>
      <c r="E105" s="116" cm="1">
        <f t="array" ref="E105">B105*C105*D105</f>
        <v>5400</v>
      </c>
      <c r="F105" s="117" cm="1">
        <f t="array" ref="F105">E105*0.1</f>
        <v>540</v>
      </c>
      <c r="G105" s="199" cm="1">
        <f t="array" ref="G105">E105+F105</f>
        <v>5940</v>
      </c>
      <c r="H105" s="200"/>
      <c r="I105" s="200"/>
    </row>
    <row r="106" ht="24.7" customHeight="1">
      <c r="A106" t="s" s="198">
        <v>105</v>
      </c>
      <c r="B106" s="114">
        <v>1</v>
      </c>
      <c r="C106" s="116">
        <v>2500</v>
      </c>
      <c r="D106" s="114">
        <v>1</v>
      </c>
      <c r="E106" s="116" cm="1">
        <f t="array" ref="E106">B106*C106*D106</f>
        <v>2500</v>
      </c>
      <c r="F106" s="117" cm="1">
        <f t="array" ref="F106">E106*0.1</f>
        <v>250</v>
      </c>
      <c r="G106" s="199" cm="1">
        <f t="array" ref="G106">E106+F106</f>
        <v>2750</v>
      </c>
      <c r="H106" s="200"/>
      <c r="I106" s="200"/>
    </row>
    <row r="107" ht="18" customHeight="1">
      <c r="A107" t="s" s="198">
        <v>106</v>
      </c>
      <c r="B107" s="114">
        <v>2</v>
      </c>
      <c r="C107" s="116">
        <v>2500</v>
      </c>
      <c r="D107" s="114">
        <v>1</v>
      </c>
      <c r="E107" s="116" cm="1">
        <f t="array" ref="E107">B107*C107*D107</f>
        <v>5000</v>
      </c>
      <c r="F107" s="117" cm="1">
        <f t="array" ref="F107">E107*0.1</f>
        <v>500</v>
      </c>
      <c r="G107" s="199" cm="1">
        <f t="array" ref="G107">E107+F107</f>
        <v>5500</v>
      </c>
      <c r="H107" s="200"/>
      <c r="I107" s="200"/>
    </row>
    <row r="108" ht="24.7" customHeight="1">
      <c r="A108" t="s" s="214">
        <v>46</v>
      </c>
      <c r="B108" s="215">
        <v>1</v>
      </c>
      <c r="C108" s="216">
        <v>8100</v>
      </c>
      <c r="D108" s="215">
        <v>1</v>
      </c>
      <c r="E108" s="216" cm="1">
        <f t="array" ref="E108">B108*C108*D108</f>
        <v>8100</v>
      </c>
      <c r="F108" s="217" cm="1">
        <f t="array" ref="F108">E108*0.1</f>
        <v>810</v>
      </c>
      <c r="G108" s="218" cm="1">
        <f t="array" ref="G108">E108+F108</f>
        <v>8910</v>
      </c>
      <c r="H108" s="219"/>
      <c r="I108" s="219"/>
    </row>
    <row r="109" ht="24.7" customHeight="1">
      <c r="A109" t="s" s="186">
        <v>108</v>
      </c>
      <c r="B109" s="187"/>
      <c r="C109" s="188"/>
      <c r="D109" s="187"/>
      <c r="E109" s="188"/>
      <c r="F109" s="189"/>
      <c r="G109" s="190" cm="1">
        <f t="array" ref="G109">G110+G116+G121</f>
        <v>389730</v>
      </c>
      <c r="H109" s="191"/>
      <c r="I109" s="191"/>
    </row>
    <row r="110" ht="24.7" customHeight="1">
      <c r="A110" t="s" s="192">
        <v>93</v>
      </c>
      <c r="B110" s="193"/>
      <c r="C110" s="194"/>
      <c r="D110" s="193"/>
      <c r="E110" s="194"/>
      <c r="F110" s="195"/>
      <c r="G110" s="196" cm="1">
        <f t="array" ref="G110">SUM(G111:G114)</f>
        <v>359700</v>
      </c>
      <c r="H110" s="197"/>
      <c r="I110" s="197"/>
    </row>
    <row r="111" ht="32" customHeight="1">
      <c r="A111" t="s" s="198">
        <v>94</v>
      </c>
      <c r="B111" s="114">
        <v>100</v>
      </c>
      <c r="C111" s="116">
        <v>940</v>
      </c>
      <c r="D111" s="114">
        <v>1</v>
      </c>
      <c r="E111" s="116" cm="1">
        <f t="array" ref="E111">B111*C111*D111</f>
        <v>94000</v>
      </c>
      <c r="F111" s="117" cm="1">
        <f t="array" ref="F111">E111*0.1</f>
        <v>9400</v>
      </c>
      <c r="G111" s="199" cm="1">
        <f t="array" ref="G111">E111+F111</f>
        <v>103400</v>
      </c>
      <c r="H111" s="200"/>
      <c r="I111" s="200"/>
    </row>
    <row r="112" ht="37.4" customHeight="1">
      <c r="A112" t="s" s="198">
        <v>95</v>
      </c>
      <c r="B112" s="114">
        <v>100</v>
      </c>
      <c r="C112" s="116">
        <v>730</v>
      </c>
      <c r="D112" s="114">
        <v>1</v>
      </c>
      <c r="E112" s="116" cm="1">
        <f t="array" ref="E112">B112*C112*D112</f>
        <v>73000</v>
      </c>
      <c r="F112" s="117" cm="1">
        <f t="array" ref="F112">E112*0.1</f>
        <v>7300</v>
      </c>
      <c r="G112" s="199" cm="1">
        <f t="array" ref="G112">E112+F112</f>
        <v>80300</v>
      </c>
      <c r="H112" s="200"/>
      <c r="I112" s="200"/>
    </row>
    <row r="113" ht="18" customHeight="1">
      <c r="A113" t="s" s="198">
        <v>96</v>
      </c>
      <c r="B113" s="114">
        <v>100</v>
      </c>
      <c r="C113" s="116">
        <v>1250</v>
      </c>
      <c r="D113" s="114">
        <v>1</v>
      </c>
      <c r="E113" s="116" cm="1">
        <f t="array" ref="E113">B113*C113*D113</f>
        <v>125000</v>
      </c>
      <c r="F113" s="117" cm="1">
        <f t="array" ref="F113">E113*0.1</f>
        <v>12500</v>
      </c>
      <c r="G113" s="199" cm="1">
        <f t="array" ref="G113">E113+F113</f>
        <v>137500</v>
      </c>
      <c r="H113" s="200"/>
      <c r="I113" s="200"/>
    </row>
    <row r="114" ht="23.95" customHeight="1">
      <c r="A114" t="s" s="198">
        <v>97</v>
      </c>
      <c r="B114" s="114">
        <v>100</v>
      </c>
      <c r="C114" s="116">
        <v>350</v>
      </c>
      <c r="D114" s="114">
        <v>1</v>
      </c>
      <c r="E114" s="116" cm="1">
        <f t="array" ref="E114">B114*C114*D114</f>
        <v>35000</v>
      </c>
      <c r="F114" s="117" cm="1">
        <f t="array" ref="F114">E114*0.1</f>
        <v>3500</v>
      </c>
      <c r="G114" s="199" cm="1">
        <f t="array" ref="G114">E114+F114</f>
        <v>38500</v>
      </c>
      <c r="H114" s="200"/>
      <c r="I114" s="200"/>
    </row>
    <row r="115" ht="23.95" customHeight="1">
      <c r="A115" t="s" s="201">
        <v>43</v>
      </c>
      <c r="B115" s="202">
        <v>100</v>
      </c>
      <c r="C115" s="203">
        <v>120</v>
      </c>
      <c r="D115" s="202">
        <v>1</v>
      </c>
      <c r="E115" s="203" cm="1">
        <f t="array" ref="E115">B115*C115*D115</f>
        <v>12000</v>
      </c>
      <c r="F115" s="204" cm="1">
        <f t="array" ref="F115">E115*0.1</f>
        <v>1200</v>
      </c>
      <c r="G115" s="207"/>
      <c r="H115" s="208">
        <v>13200</v>
      </c>
      <c r="I115" s="208"/>
    </row>
    <row r="116" ht="24.7" customHeight="1">
      <c r="A116" t="s" s="192">
        <v>102</v>
      </c>
      <c r="B116" s="193"/>
      <c r="C116" s="194"/>
      <c r="D116" s="193"/>
      <c r="E116" s="194"/>
      <c r="F116" s="195"/>
      <c r="G116" s="196" cm="1">
        <f t="array" ref="G116">SUM(G117:G120)</f>
        <v>21120</v>
      </c>
      <c r="H116" s="197"/>
      <c r="I116" s="197"/>
    </row>
    <row r="117" ht="18" customHeight="1">
      <c r="A117" t="s" s="198">
        <v>103</v>
      </c>
      <c r="B117" s="114">
        <v>3</v>
      </c>
      <c r="C117" s="116">
        <v>2100</v>
      </c>
      <c r="D117" s="114">
        <v>1</v>
      </c>
      <c r="E117" s="116" cm="1">
        <f t="array" ref="E117">B117*C117*D117</f>
        <v>6300</v>
      </c>
      <c r="F117" s="117" cm="1">
        <f t="array" ref="F117">E117*0.1</f>
        <v>630</v>
      </c>
      <c r="G117" s="199" cm="1">
        <f t="array" ref="G117">E117+F117</f>
        <v>6930</v>
      </c>
      <c r="H117" s="200"/>
      <c r="I117" s="200"/>
    </row>
    <row r="118" ht="18" customHeight="1">
      <c r="A118" t="s" s="198">
        <v>104</v>
      </c>
      <c r="B118" s="114">
        <v>6</v>
      </c>
      <c r="C118" s="116">
        <v>900</v>
      </c>
      <c r="D118" s="114">
        <v>1</v>
      </c>
      <c r="E118" s="116" cm="1">
        <f t="array" ref="E118">B118*C118*D118</f>
        <v>5400</v>
      </c>
      <c r="F118" s="117" cm="1">
        <f t="array" ref="F118">E118*0.1</f>
        <v>540</v>
      </c>
      <c r="G118" s="199" cm="1">
        <f t="array" ref="G118">E118+F118</f>
        <v>5940</v>
      </c>
      <c r="H118" s="200"/>
      <c r="I118" s="200"/>
    </row>
    <row r="119" ht="23.35" customHeight="1">
      <c r="A119" t="s" s="198">
        <v>105</v>
      </c>
      <c r="B119" s="114">
        <v>1</v>
      </c>
      <c r="C119" s="116">
        <v>2500</v>
      </c>
      <c r="D119" s="114">
        <v>1</v>
      </c>
      <c r="E119" s="116" cm="1">
        <f t="array" ref="E119">B119*C119*D119</f>
        <v>2500</v>
      </c>
      <c r="F119" s="117" cm="1">
        <f t="array" ref="F119">E119*0.1</f>
        <v>250</v>
      </c>
      <c r="G119" s="199" cm="1">
        <f t="array" ref="G119">E119+F119</f>
        <v>2750</v>
      </c>
      <c r="H119" s="200"/>
      <c r="I119" s="200"/>
    </row>
    <row r="120" ht="19" customHeight="1">
      <c r="A120" t="s" s="201">
        <v>106</v>
      </c>
      <c r="B120" s="202">
        <v>2</v>
      </c>
      <c r="C120" s="203">
        <v>2500</v>
      </c>
      <c r="D120" s="202">
        <v>1</v>
      </c>
      <c r="E120" s="203" cm="1">
        <f t="array" ref="E120">B120*C120*D120</f>
        <v>5000</v>
      </c>
      <c r="F120" s="204" cm="1">
        <f t="array" ref="F120">E120*0.1</f>
        <v>500</v>
      </c>
      <c r="G120" s="207" cm="1">
        <f t="array" ref="G120">E120+F120</f>
        <v>5500</v>
      </c>
      <c r="H120" s="208"/>
      <c r="I120" s="208"/>
    </row>
    <row r="121" ht="30.8" customHeight="1">
      <c r="A121" t="s" s="220">
        <v>46</v>
      </c>
      <c r="B121" s="221">
        <v>1</v>
      </c>
      <c r="C121" s="222">
        <v>8100</v>
      </c>
      <c r="D121" s="221">
        <v>1</v>
      </c>
      <c r="E121" s="222" cm="1">
        <f t="array" ref="E121">B121*C121*D121</f>
        <v>8100</v>
      </c>
      <c r="F121" s="223" cm="1">
        <f t="array" ref="F121">E121*0.1</f>
        <v>810</v>
      </c>
      <c r="G121" s="224" cm="1">
        <f t="array" ref="G121">E121+F121</f>
        <v>8910</v>
      </c>
      <c r="H121" s="225"/>
      <c r="I121" s="225"/>
    </row>
    <row r="122" ht="20.95" customHeight="1">
      <c r="A122" t="s" s="186">
        <v>109</v>
      </c>
      <c r="B122" s="187"/>
      <c r="C122" s="188"/>
      <c r="D122" s="187"/>
      <c r="E122" s="188"/>
      <c r="F122" s="189"/>
      <c r="G122" s="190" cm="1">
        <f t="array" ref="G122">G123+G129+G133+G137+G142</f>
        <v>578160</v>
      </c>
      <c r="H122" s="191"/>
      <c r="I122" s="191"/>
    </row>
    <row r="123" ht="20.95" customHeight="1">
      <c r="A123" t="s" s="192">
        <v>93</v>
      </c>
      <c r="B123" s="193"/>
      <c r="C123" s="194"/>
      <c r="D123" s="193"/>
      <c r="E123" s="194"/>
      <c r="F123" s="195"/>
      <c r="G123" s="196" cm="1">
        <f t="array" ref="G123">SUM(G124:G127)</f>
        <v>298100</v>
      </c>
      <c r="H123" s="197"/>
      <c r="I123" s="197"/>
    </row>
    <row r="124" ht="32" customHeight="1">
      <c r="A124" t="s" s="198">
        <v>94</v>
      </c>
      <c r="B124" s="114">
        <v>100</v>
      </c>
      <c r="C124" s="116">
        <v>710</v>
      </c>
      <c r="D124" s="114">
        <v>1</v>
      </c>
      <c r="E124" s="116" cm="1">
        <f t="array" ref="E124">B124*C124*D124</f>
        <v>71000</v>
      </c>
      <c r="F124" s="117" cm="1">
        <f t="array" ref="F124">E124*0.1</f>
        <v>7100</v>
      </c>
      <c r="G124" s="199" cm="1">
        <f t="array" ref="G124">E124+F124</f>
        <v>78100</v>
      </c>
      <c r="H124" s="200"/>
      <c r="I124" s="200"/>
    </row>
    <row r="125" ht="32" customHeight="1">
      <c r="A125" t="s" s="198">
        <v>95</v>
      </c>
      <c r="B125" s="114">
        <v>100</v>
      </c>
      <c r="C125" s="116">
        <v>600</v>
      </c>
      <c r="D125" s="114">
        <v>1</v>
      </c>
      <c r="E125" s="116" cm="1">
        <f t="array" ref="E125">B125*C125*D125</f>
        <v>60000</v>
      </c>
      <c r="F125" s="117" cm="1">
        <f t="array" ref="F125">E125*0.1</f>
        <v>6000</v>
      </c>
      <c r="G125" s="199" cm="1">
        <f t="array" ref="G125">E125+F125</f>
        <v>66000</v>
      </c>
      <c r="H125" s="200"/>
      <c r="I125" s="200"/>
    </row>
    <row r="126" ht="20.95" customHeight="1">
      <c r="A126" t="s" s="198">
        <v>96</v>
      </c>
      <c r="B126" s="114">
        <v>100</v>
      </c>
      <c r="C126" s="116">
        <v>1100</v>
      </c>
      <c r="D126" s="114">
        <v>1</v>
      </c>
      <c r="E126" s="116" cm="1">
        <f t="array" ref="E126">B126*C126*D126</f>
        <v>110000</v>
      </c>
      <c r="F126" s="117" cm="1">
        <f t="array" ref="F126">E126*0.1</f>
        <v>11000</v>
      </c>
      <c r="G126" s="199" cm="1">
        <f t="array" ref="G126">E126+F126</f>
        <v>121000</v>
      </c>
      <c r="H126" s="200"/>
      <c r="I126" s="200"/>
    </row>
    <row r="127" ht="20.95" customHeight="1">
      <c r="A127" t="s" s="198">
        <v>97</v>
      </c>
      <c r="B127" s="114">
        <v>100</v>
      </c>
      <c r="C127" s="116">
        <v>300</v>
      </c>
      <c r="D127" s="114">
        <v>1</v>
      </c>
      <c r="E127" s="116" cm="1">
        <f t="array" ref="E127">B127*C127*D127</f>
        <v>30000</v>
      </c>
      <c r="F127" s="117" cm="1">
        <f t="array" ref="F127">E127*0.1</f>
        <v>3000</v>
      </c>
      <c r="G127" s="199" cm="1">
        <f t="array" ref="G127">E127+F127</f>
        <v>33000</v>
      </c>
      <c r="H127" s="200"/>
      <c r="I127" s="200"/>
    </row>
    <row r="128" ht="20.95" customHeight="1">
      <c r="A128" t="s" s="201">
        <v>43</v>
      </c>
      <c r="B128" s="202">
        <v>100</v>
      </c>
      <c r="C128" s="203">
        <v>100</v>
      </c>
      <c r="D128" s="202">
        <v>1</v>
      </c>
      <c r="E128" s="203" cm="1">
        <f t="array" ref="E128">B128*C128*D128</f>
        <v>10000</v>
      </c>
      <c r="F128" s="204" cm="1">
        <f t="array" ref="F128">E128*0.1</f>
        <v>1000</v>
      </c>
      <c r="G128" s="207"/>
      <c r="H128" s="208">
        <v>11000</v>
      </c>
      <c r="I128" s="208"/>
    </row>
    <row r="129" ht="20.95" customHeight="1">
      <c r="A129" t="s" s="192">
        <v>21</v>
      </c>
      <c r="B129" s="193"/>
      <c r="C129" s="194"/>
      <c r="D129" s="193"/>
      <c r="E129" s="194"/>
      <c r="F129" s="195"/>
      <c r="G129" s="196" cm="1">
        <f t="array" ref="G129">SUM(G130:G132)</f>
        <v>78540</v>
      </c>
      <c r="H129" s="197"/>
      <c r="I129" s="197"/>
    </row>
    <row r="130" ht="32" customHeight="1">
      <c r="A130" t="s" s="198">
        <v>98</v>
      </c>
      <c r="B130" s="114">
        <v>6</v>
      </c>
      <c r="C130" s="116">
        <v>7100</v>
      </c>
      <c r="D130" s="114">
        <v>1</v>
      </c>
      <c r="E130" s="116" cm="1">
        <f t="array" ref="E130">B130*C130*D130</f>
        <v>42600</v>
      </c>
      <c r="F130" s="117" cm="1">
        <f t="array" ref="F130">E130*0.1</f>
        <v>4260</v>
      </c>
      <c r="G130" s="199" cm="1">
        <f t="array" ref="G130">E130+F130</f>
        <v>46860</v>
      </c>
      <c r="H130" s="200"/>
      <c r="I130" s="200"/>
    </row>
    <row r="131" ht="20.95" customHeight="1">
      <c r="A131" t="s" s="209">
        <v>99</v>
      </c>
      <c r="B131" s="114">
        <v>6</v>
      </c>
      <c r="C131" s="116">
        <v>1800</v>
      </c>
      <c r="D131" s="114">
        <v>1</v>
      </c>
      <c r="E131" s="116" cm="1">
        <f t="array" ref="E131">B131*C131*D131</f>
        <v>10800</v>
      </c>
      <c r="F131" s="117" cm="1">
        <f t="array" ref="F131">E131*0.1</f>
        <v>1080</v>
      </c>
      <c r="G131" s="199" cm="1">
        <f t="array" ref="G131">E131+F131</f>
        <v>11880</v>
      </c>
      <c r="H131" s="200"/>
      <c r="I131" s="200"/>
    </row>
    <row r="132" ht="20.95" customHeight="1">
      <c r="A132" t="s" s="198">
        <v>100</v>
      </c>
      <c r="B132" s="114">
        <v>6</v>
      </c>
      <c r="C132" s="116">
        <v>3000</v>
      </c>
      <c r="D132" s="114">
        <v>1</v>
      </c>
      <c r="E132" s="116" cm="1">
        <f t="array" ref="E132">B132*C132*D132</f>
        <v>18000</v>
      </c>
      <c r="F132" s="117" cm="1">
        <f t="array" ref="F132">E132*0.1</f>
        <v>1800</v>
      </c>
      <c r="G132" s="199" cm="1">
        <f t="array" ref="G132">E132+F132</f>
        <v>19800</v>
      </c>
      <c r="H132" s="200"/>
      <c r="I132" s="200"/>
    </row>
    <row r="133" ht="20.95" customHeight="1">
      <c r="A133" t="s" s="210">
        <v>101</v>
      </c>
      <c r="B133" s="211"/>
      <c r="C133" s="212"/>
      <c r="D133" s="211"/>
      <c r="E133" s="212"/>
      <c r="F133" s="213"/>
      <c r="G133" s="205" cm="1">
        <f t="array" ref="G133">SUM(G134:G136)</f>
        <v>26180</v>
      </c>
      <c r="H133" s="206"/>
      <c r="I133" s="206"/>
    </row>
    <row r="134" ht="32" customHeight="1">
      <c r="A134" t="s" s="198">
        <v>98</v>
      </c>
      <c r="B134" s="114">
        <v>2</v>
      </c>
      <c r="C134" s="116">
        <v>7100</v>
      </c>
      <c r="D134" s="114">
        <v>1</v>
      </c>
      <c r="E134" s="116" cm="1">
        <f t="array" ref="E134">B134*C134*D134</f>
        <v>14200</v>
      </c>
      <c r="F134" s="117" cm="1">
        <f t="array" ref="F134">E134*0.1</f>
        <v>1420</v>
      </c>
      <c r="G134" s="199" cm="1">
        <f t="array" ref="G134">E134+F134</f>
        <v>15620</v>
      </c>
      <c r="H134" s="200"/>
      <c r="I134" s="200"/>
    </row>
    <row r="135" ht="20.95" customHeight="1">
      <c r="A135" t="s" s="198">
        <v>99</v>
      </c>
      <c r="B135" s="114">
        <v>2</v>
      </c>
      <c r="C135" s="116">
        <v>1800</v>
      </c>
      <c r="D135" s="114">
        <v>1</v>
      </c>
      <c r="E135" s="116" cm="1">
        <f t="array" ref="E135">B135*C135*D135</f>
        <v>3600</v>
      </c>
      <c r="F135" s="117" cm="1">
        <f t="array" ref="F135">E135*0.1</f>
        <v>360</v>
      </c>
      <c r="G135" s="199" cm="1">
        <f t="array" ref="G135">E135+F135</f>
        <v>3960</v>
      </c>
      <c r="H135" s="200"/>
      <c r="I135" s="200"/>
    </row>
    <row r="136" ht="20.95" customHeight="1">
      <c r="A136" t="s" s="198">
        <v>100</v>
      </c>
      <c r="B136" s="114">
        <v>2</v>
      </c>
      <c r="C136" s="116">
        <v>3000</v>
      </c>
      <c r="D136" s="114">
        <v>1</v>
      </c>
      <c r="E136" s="116" cm="1">
        <f t="array" ref="E136">B136*C136*D136</f>
        <v>6000</v>
      </c>
      <c r="F136" s="117" cm="1">
        <f t="array" ref="F136">E136*0.1</f>
        <v>600</v>
      </c>
      <c r="G136" s="199" cm="1">
        <f t="array" ref="G136">E136+F136</f>
        <v>6600</v>
      </c>
      <c r="H136" s="200"/>
      <c r="I136" s="200"/>
    </row>
    <row r="137" ht="20.95" customHeight="1">
      <c r="A137" t="s" s="198">
        <v>102</v>
      </c>
      <c r="B137" s="114"/>
      <c r="C137" s="116"/>
      <c r="D137" s="114"/>
      <c r="E137" s="116"/>
      <c r="F137" s="117"/>
      <c r="G137" s="199" cm="1">
        <f t="array" ref="G137">SUM(G138:G141)</f>
        <v>131340</v>
      </c>
      <c r="H137" s="200"/>
      <c r="I137" s="200"/>
    </row>
    <row r="138" ht="20.95" customHeight="1">
      <c r="A138" t="s" s="226">
        <v>103</v>
      </c>
      <c r="B138" s="227">
        <v>3</v>
      </c>
      <c r="C138" s="228">
        <v>15700</v>
      </c>
      <c r="D138" s="227">
        <v>1</v>
      </c>
      <c r="E138" s="228" cm="1">
        <f t="array" ref="E138">B138*C138*D138</f>
        <v>47100</v>
      </c>
      <c r="F138" s="229" cm="1">
        <f t="array" ref="F138">E138*0.1</f>
        <v>4710</v>
      </c>
      <c r="G138" s="230" cm="1">
        <f t="array" ref="G138">E138+F138</f>
        <v>51810</v>
      </c>
      <c r="H138" s="231"/>
      <c r="I138" s="231"/>
    </row>
    <row r="139" ht="20.95" customHeight="1">
      <c r="A139" t="s" s="192">
        <v>104</v>
      </c>
      <c r="B139" s="193">
        <v>6</v>
      </c>
      <c r="C139" s="194">
        <v>8600</v>
      </c>
      <c r="D139" s="193">
        <v>1</v>
      </c>
      <c r="E139" s="194" cm="1">
        <f t="array" ref="E139">B139*C139*D139</f>
        <v>51600</v>
      </c>
      <c r="F139" s="232" cm="1">
        <f t="array" ref="F139">E139*0.1</f>
        <v>5160</v>
      </c>
      <c r="G139" s="196" cm="1">
        <f t="array" ref="G139">E139+F139</f>
        <v>56760</v>
      </c>
      <c r="H139" s="197"/>
      <c r="I139" s="197"/>
    </row>
    <row r="140" ht="20.95" customHeight="1">
      <c r="A140" t="s" s="198">
        <v>105</v>
      </c>
      <c r="B140" s="114">
        <v>1</v>
      </c>
      <c r="C140" s="116">
        <v>15700</v>
      </c>
      <c r="D140" s="114">
        <v>1</v>
      </c>
      <c r="E140" s="116" cm="1">
        <f t="array" ref="E140">B140*C140*D140</f>
        <v>15700</v>
      </c>
      <c r="F140" s="117" cm="1">
        <f t="array" ref="F140">E140*0.1</f>
        <v>1570</v>
      </c>
      <c r="G140" s="199" cm="1">
        <f t="array" ref="G140">E140+F140</f>
        <v>17270</v>
      </c>
      <c r="H140" s="200"/>
      <c r="I140" s="200"/>
    </row>
    <row r="141" ht="20.95" customHeight="1">
      <c r="A141" t="s" s="209">
        <v>106</v>
      </c>
      <c r="B141" s="114">
        <v>2</v>
      </c>
      <c r="C141" s="116">
        <v>2500</v>
      </c>
      <c r="D141" s="114">
        <v>1</v>
      </c>
      <c r="E141" s="116" cm="1">
        <f t="array" ref="E141">B141*C141*D141</f>
        <v>5000</v>
      </c>
      <c r="F141" s="117" cm="1">
        <f t="array" ref="F141">E141*0.1</f>
        <v>500</v>
      </c>
      <c r="G141" s="199" cm="1">
        <f t="array" ref="G141">E141+F141</f>
        <v>5500</v>
      </c>
      <c r="H141" s="200"/>
      <c r="I141" s="200"/>
    </row>
    <row r="142" ht="19" customHeight="1">
      <c r="A142" t="s" s="233">
        <v>46</v>
      </c>
      <c r="B142" s="234">
        <v>1</v>
      </c>
      <c r="C142" s="235">
        <v>40000</v>
      </c>
      <c r="D142" s="234">
        <v>1</v>
      </c>
      <c r="E142" s="235" cm="1">
        <f t="array" ref="E142">B142*C142*D142</f>
        <v>40000</v>
      </c>
      <c r="F142" s="236" cm="1">
        <f t="array" ref="F142">E142*0.1</f>
        <v>4000</v>
      </c>
      <c r="G142" s="237" cm="1">
        <f t="array" ref="G142">E142+F142</f>
        <v>44000</v>
      </c>
      <c r="H142" s="238"/>
      <c r="I142" s="238"/>
    </row>
    <row r="143" ht="19" customHeight="1">
      <c r="A143" s="239"/>
      <c r="B143" s="240"/>
      <c r="C143" s="241"/>
      <c r="D143" s="240"/>
      <c r="E143" s="241"/>
      <c r="F143" s="242"/>
      <c r="G143" s="243"/>
      <c r="H143" s="243"/>
      <c r="I143" s="243"/>
    </row>
    <row r="144" ht="19" customHeight="1">
      <c r="A144" s="244"/>
      <c r="B144" s="245"/>
      <c r="C144" s="246"/>
      <c r="D144" s="245"/>
      <c r="E144" s="246"/>
      <c r="F144" s="247"/>
      <c r="G144" s="248"/>
      <c r="H144" s="248"/>
      <c r="I144" s="248"/>
    </row>
    <row r="145" ht="55.15" customHeight="1">
      <c r="A145" t="s" s="249">
        <v>57</v>
      </c>
      <c r="B145" s="250"/>
      <c r="C145" s="250"/>
      <c r="D145" s="250"/>
      <c r="E145" s="250"/>
      <c r="F145" s="250"/>
      <c r="G145" s="251" cm="1">
        <f t="array" ref="G145">G4</f>
        <v>186600</v>
      </c>
      <c r="H145" s="251"/>
      <c r="I145" s="252"/>
    </row>
    <row r="146" ht="55.15" customHeight="1">
      <c r="A146" t="s" s="253">
        <v>63</v>
      </c>
      <c r="B146" s="254"/>
      <c r="C146" s="255"/>
      <c r="D146" s="254"/>
      <c r="E146" s="255"/>
      <c r="F146" s="256"/>
      <c r="G146" s="257" cm="1">
        <f t="array" ref="G146">G11</f>
        <v>359200</v>
      </c>
      <c r="H146" s="258"/>
      <c r="I146" s="258"/>
    </row>
    <row r="147" ht="55.15" customHeight="1">
      <c r="A147" t="s" s="259">
        <v>76</v>
      </c>
      <c r="B147" s="260" cm="1">
        <f t="array" ref="B147">G37</f>
        <v>274450</v>
      </c>
      <c r="C147" s="261"/>
      <c r="D147" t="s" s="262">
        <v>110</v>
      </c>
      <c r="E147" s="263"/>
      <c r="F147" s="263"/>
      <c r="G147" s="264" cm="1">
        <f t="array" ref="G147">B147*D147</f>
        <v>1097800</v>
      </c>
      <c r="H147" s="265"/>
      <c r="I147" s="265"/>
    </row>
    <row r="148" ht="55.15" customHeight="1">
      <c r="A148" t="s" s="266">
        <v>91</v>
      </c>
      <c r="B148" s="267"/>
      <c r="C148" s="268"/>
      <c r="D148" s="267"/>
      <c r="E148" s="268"/>
      <c r="F148" s="269"/>
      <c r="G148" s="270" cm="1">
        <f t="array" ref="G148">G74</f>
        <v>1831526.4</v>
      </c>
      <c r="H148" s="271"/>
      <c r="I148" s="271"/>
    </row>
    <row r="149" ht="55.15" customHeight="1">
      <c r="A149" t="s" s="272">
        <v>111</v>
      </c>
      <c r="B149" s="273"/>
      <c r="C149" s="274"/>
      <c r="D149" s="273"/>
      <c r="E149" s="274"/>
      <c r="F149" s="275"/>
      <c r="G149" s="276"/>
      <c r="H149" s="277"/>
      <c r="I149" s="277" cm="1">
        <f t="array" ref="I149">SUM(I5:I6)+I8</f>
        <v>200000</v>
      </c>
    </row>
    <row r="150" ht="20" customHeight="1">
      <c r="A150" s="278"/>
      <c r="B150" s="279"/>
      <c r="C150" s="280"/>
      <c r="D150" s="279"/>
      <c r="E150" s="280"/>
      <c r="F150" s="281"/>
      <c r="G150" s="282"/>
      <c r="H150" s="282"/>
      <c r="I150" s="282"/>
    </row>
    <row r="151" ht="41.05" customHeight="1">
      <c r="A151" t="s" s="283">
        <v>112</v>
      </c>
      <c r="B151" s="284"/>
      <c r="C151" s="285"/>
      <c r="D151" s="284"/>
      <c r="E151" s="285"/>
      <c r="F151" s="286"/>
      <c r="G151" s="287" cm="1">
        <f t="array" ref="G151">SUM(G145:G148)</f>
        <v>3475126.4</v>
      </c>
      <c r="H151" s="288"/>
      <c r="I151" s="288"/>
    </row>
    <row r="152" ht="61.9" customHeight="1">
      <c r="A152" t="s" s="289">
        <v>113</v>
      </c>
      <c r="B152" s="290"/>
      <c r="C152" s="291"/>
      <c r="D152" s="290"/>
      <c r="E152" s="291"/>
      <c r="F152" s="292"/>
      <c r="G152" s="293"/>
      <c r="H152" s="293"/>
      <c r="I152" s="293"/>
    </row>
  </sheetData>
  <mergeCells count="2">
    <mergeCell ref="A1:G1"/>
    <mergeCell ref="B147:C147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H68"/>
  <sheetViews>
    <sheetView workbookViewId="0" showGridLines="0" defaultGridColor="1">
      <pane topLeftCell="B4" xSplit="1" ySplit="3" activePane="bottomRight" state="frozen"/>
    </sheetView>
  </sheetViews>
  <sheetFormatPr defaultColWidth="16.3333" defaultRowHeight="19.9" customHeight="1" outlineLevelRow="0" outlineLevelCol="0"/>
  <cols>
    <col min="1" max="1" width="78.8828" style="295" customWidth="1"/>
    <col min="2" max="2" width="13.9219" style="295" customWidth="1"/>
    <col min="3" max="3" width="13.8125" style="295" customWidth="1"/>
    <col min="4" max="4" width="12.5234" style="295" customWidth="1"/>
    <col min="5" max="5" width="12.8047" style="295" customWidth="1"/>
    <col min="6" max="6" width="11.8203" style="295" customWidth="1"/>
    <col min="7" max="8" width="19.2266" style="295" customWidth="1"/>
    <col min="9" max="16384" width="16.3516" style="295" customWidth="1"/>
  </cols>
  <sheetData>
    <row r="1" ht="81" customHeight="1">
      <c r="A1" t="s" s="105">
        <v>116</v>
      </c>
      <c r="B1" s="3"/>
      <c r="C1" s="3"/>
      <c r="D1" s="3"/>
      <c r="E1" s="3"/>
      <c r="F1" s="3"/>
      <c r="G1" s="4"/>
      <c r="H1" s="105"/>
    </row>
    <row r="2" ht="18.3" customHeight="1">
      <c r="A2" s="107"/>
      <c r="B2" s="107"/>
      <c r="C2" s="107"/>
      <c r="D2" s="107"/>
      <c r="E2" s="107"/>
      <c r="F2" s="107"/>
      <c r="G2" s="107"/>
      <c r="H2" s="107"/>
    </row>
    <row r="3" ht="47.8" customHeight="1">
      <c r="A3" s="108"/>
      <c r="B3" t="s" s="108">
        <v>1</v>
      </c>
      <c r="C3" t="s" s="108">
        <v>2</v>
      </c>
      <c r="D3" t="s" s="108">
        <v>117</v>
      </c>
      <c r="E3" t="s" s="108">
        <v>4</v>
      </c>
      <c r="F3" t="s" s="108">
        <v>5</v>
      </c>
      <c r="G3" t="s" s="108">
        <v>6</v>
      </c>
      <c r="H3" t="s" s="108">
        <v>56</v>
      </c>
    </row>
    <row r="4" ht="52.3" customHeight="1">
      <c r="A4" t="s" s="109">
        <v>57</v>
      </c>
      <c r="B4" s="110"/>
      <c r="C4" s="110"/>
      <c r="D4" s="110"/>
      <c r="E4" s="110"/>
      <c r="F4" s="110"/>
      <c r="G4" s="296" cm="1">
        <f t="array" ref="G4">SUM(G5:G9)</f>
        <v>123932</v>
      </c>
      <c r="H4" s="297"/>
    </row>
    <row r="5" ht="29.55" customHeight="1">
      <c r="A5" t="s" s="113">
        <v>58</v>
      </c>
      <c r="B5" s="114">
        <v>1</v>
      </c>
      <c r="C5" s="115"/>
      <c r="D5" s="114"/>
      <c r="E5" s="116"/>
      <c r="F5" s="117"/>
      <c r="G5" s="118" cm="1">
        <f t="array" ref="G5">E5+F5</f>
        <v>0</v>
      </c>
      <c r="H5" s="119">
        <v>65000</v>
      </c>
    </row>
    <row r="6" ht="29.55" customHeight="1">
      <c r="A6" t="s" s="113">
        <v>59</v>
      </c>
      <c r="B6" s="114">
        <v>1</v>
      </c>
      <c r="C6" s="115"/>
      <c r="D6" s="114"/>
      <c r="E6" s="116"/>
      <c r="F6" s="117"/>
      <c r="G6" s="118" cm="1">
        <f t="array" ref="G6">E6+F6</f>
        <v>0</v>
      </c>
      <c r="H6" s="119">
        <v>96000</v>
      </c>
    </row>
    <row r="7" ht="100.45" customHeight="1">
      <c r="A7" t="s" s="120">
        <v>60</v>
      </c>
      <c r="B7" s="114">
        <v>1</v>
      </c>
      <c r="C7" s="116">
        <v>36000</v>
      </c>
      <c r="D7" s="114">
        <v>1</v>
      </c>
      <c r="E7" s="116" cm="1">
        <f t="array" ref="E7">B7*C7*D7</f>
        <v>36000</v>
      </c>
      <c r="F7" s="117"/>
      <c r="G7" s="118" cm="1">
        <f t="array" ref="G7">E7+F7</f>
        <v>36000</v>
      </c>
      <c r="H7" s="119"/>
    </row>
    <row r="8" ht="32" customHeight="1">
      <c r="A8" t="s" s="298">
        <v>118</v>
      </c>
      <c r="B8" s="114">
        <v>64</v>
      </c>
      <c r="C8" s="116">
        <v>580</v>
      </c>
      <c r="D8" s="114">
        <v>1</v>
      </c>
      <c r="E8" s="116" cm="1">
        <f t="array" ref="E8">B8*C8*D8</f>
        <v>37120</v>
      </c>
      <c r="F8" s="117" cm="1">
        <f t="array" ref="F8">E8*0.1</f>
        <v>3712</v>
      </c>
      <c r="G8" s="118" cm="1">
        <f t="array" ref="G8">E8+F8</f>
        <v>40832</v>
      </c>
      <c r="H8" s="119"/>
    </row>
    <row r="9" ht="92.95" customHeight="1">
      <c r="A9" t="s" s="299">
        <v>119</v>
      </c>
      <c r="B9" s="122">
        <v>1</v>
      </c>
      <c r="C9" s="123">
        <v>47100</v>
      </c>
      <c r="D9" s="122">
        <v>1</v>
      </c>
      <c r="E9" s="123" cm="1">
        <f t="array" ref="E9">B9*C9*D9</f>
        <v>47100</v>
      </c>
      <c r="F9" s="124"/>
      <c r="G9" s="125" cm="1">
        <f t="array" ref="G9">E9+F9</f>
        <v>47100</v>
      </c>
      <c r="H9" s="126"/>
    </row>
    <row r="10" ht="28" customHeight="1">
      <c r="A10" s="127"/>
      <c r="B10" s="128"/>
      <c r="C10" s="129"/>
      <c r="D10" s="128"/>
      <c r="E10" s="129"/>
      <c r="F10" s="127"/>
      <c r="G10" s="129"/>
      <c r="H10" s="129"/>
    </row>
    <row r="11" ht="57.15" customHeight="1">
      <c r="A11" t="s" s="130">
        <v>120</v>
      </c>
      <c r="B11" s="131"/>
      <c r="C11" s="132"/>
      <c r="D11" s="131"/>
      <c r="E11" s="132"/>
      <c r="F11" s="133"/>
      <c r="G11" s="300" cm="1">
        <f t="array" ref="G11">SUM(G12:G21)</f>
        <v>554060</v>
      </c>
      <c r="H11" s="301"/>
    </row>
    <row r="12" ht="21.4" customHeight="1">
      <c r="A12" t="s" s="302">
        <v>121</v>
      </c>
      <c r="B12" s="303">
        <v>8</v>
      </c>
      <c r="C12" s="304">
        <v>900</v>
      </c>
      <c r="D12" s="303">
        <v>1</v>
      </c>
      <c r="E12" s="304" cm="1">
        <f t="array" ref="E12">B12*C12*D12</f>
        <v>7200</v>
      </c>
      <c r="F12" s="305"/>
      <c r="G12" s="306" cm="1">
        <f t="array" ref="G12">E12+F12</f>
        <v>7200</v>
      </c>
      <c r="H12" s="307"/>
    </row>
    <row r="13" ht="31" customHeight="1">
      <c r="A13" t="s" s="308">
        <v>122</v>
      </c>
      <c r="B13" s="309">
        <v>1</v>
      </c>
      <c r="C13" s="310">
        <v>61000</v>
      </c>
      <c r="D13" s="309">
        <v>2</v>
      </c>
      <c r="E13" s="310" cm="1">
        <f t="array" ref="E13">B13*C13*D13</f>
        <v>122000</v>
      </c>
      <c r="F13" s="311" cm="1">
        <f t="array" ref="F13">E13*0.1</f>
        <v>12200</v>
      </c>
      <c r="G13" s="312" cm="1">
        <f t="array" ref="G13">E13+F13</f>
        <v>134200</v>
      </c>
      <c r="H13" s="313"/>
    </row>
    <row r="14" ht="32" customHeight="1">
      <c r="A14" t="s" s="139">
        <v>79</v>
      </c>
      <c r="B14" s="114">
        <v>1</v>
      </c>
      <c r="C14" s="116">
        <v>4900</v>
      </c>
      <c r="D14" s="114">
        <v>2</v>
      </c>
      <c r="E14" s="116" cm="1">
        <f t="array" ref="E14">B14*C14*D14</f>
        <v>9800</v>
      </c>
      <c r="F14" s="117" cm="1">
        <f t="array" ref="F14">E14*0.1</f>
        <v>980</v>
      </c>
      <c r="G14" s="137" cm="1">
        <f t="array" ref="G14">E14+F14</f>
        <v>10780</v>
      </c>
      <c r="H14" s="138"/>
    </row>
    <row r="15" ht="21.4" customHeight="1">
      <c r="A15" t="s" s="139">
        <v>123</v>
      </c>
      <c r="B15" s="114">
        <v>1</v>
      </c>
      <c r="C15" s="116">
        <v>6100</v>
      </c>
      <c r="D15" s="114">
        <v>2</v>
      </c>
      <c r="E15" s="116" cm="1">
        <f t="array" ref="E15">B15*C15*D15</f>
        <v>12200</v>
      </c>
      <c r="F15" s="117" cm="1">
        <f t="array" ref="F15">E15*0.1</f>
        <v>1220</v>
      </c>
      <c r="G15" s="137" cm="1">
        <f t="array" ref="G15">E15+F15</f>
        <v>13420</v>
      </c>
      <c r="H15" s="138"/>
    </row>
    <row r="16" ht="21.4" customHeight="1">
      <c r="A16" t="s" s="139">
        <v>81</v>
      </c>
      <c r="B16" s="114">
        <v>1</v>
      </c>
      <c r="C16" s="116">
        <v>1600</v>
      </c>
      <c r="D16" s="114">
        <v>1</v>
      </c>
      <c r="E16" s="116" cm="1">
        <f t="array" ref="E16">B16*C16*D16</f>
        <v>1600</v>
      </c>
      <c r="F16" s="117" cm="1">
        <f t="array" ref="F16">E16*0.1</f>
        <v>160</v>
      </c>
      <c r="G16" s="137" cm="1">
        <f t="array" ref="G16">E16+F16</f>
        <v>1760</v>
      </c>
      <c r="H16" s="138"/>
    </row>
    <row r="17" ht="21.4" customHeight="1">
      <c r="A17" t="s" s="139">
        <v>82</v>
      </c>
      <c r="B17" s="114">
        <v>1</v>
      </c>
      <c r="C17" s="116">
        <v>12100</v>
      </c>
      <c r="D17" s="114">
        <v>1</v>
      </c>
      <c r="E17" s="116" cm="1">
        <f t="array" ref="E17">B17*C17*D17</f>
        <v>12100</v>
      </c>
      <c r="F17" s="117" cm="1">
        <f t="array" ref="F17">E17*0.1</f>
        <v>1210</v>
      </c>
      <c r="G17" s="137" cm="1">
        <f t="array" ref="G17">E17+F17</f>
        <v>13310</v>
      </c>
      <c r="H17" s="138"/>
    </row>
    <row r="18" ht="21.4" customHeight="1">
      <c r="A18" t="s" s="139">
        <v>124</v>
      </c>
      <c r="B18" s="114">
        <v>16</v>
      </c>
      <c r="C18" s="116">
        <v>1200</v>
      </c>
      <c r="D18" s="114">
        <v>1</v>
      </c>
      <c r="E18" s="116" cm="1">
        <f t="array" ref="E18">B18*C18*D18</f>
        <v>19200</v>
      </c>
      <c r="F18" s="117" cm="1">
        <f t="array" ref="F18">E18*0.1</f>
        <v>1920</v>
      </c>
      <c r="G18" s="137" cm="1">
        <f t="array" ref="G18">E18+F18</f>
        <v>21120</v>
      </c>
      <c r="H18" s="138"/>
    </row>
    <row r="19" ht="33.05" customHeight="1">
      <c r="A19" t="s" s="139">
        <v>125</v>
      </c>
      <c r="B19" s="114">
        <v>1</v>
      </c>
      <c r="C19" s="116">
        <v>18600</v>
      </c>
      <c r="D19" s="114">
        <v>1</v>
      </c>
      <c r="E19" s="116" cm="1">
        <f t="array" ref="E19">B19*C19*D19</f>
        <v>18600</v>
      </c>
      <c r="F19" s="117" cm="1">
        <f t="array" ref="F19">E19*0.1</f>
        <v>1860</v>
      </c>
      <c r="G19" s="137" cm="1">
        <f t="array" ref="G19">E19+F19</f>
        <v>20460</v>
      </c>
      <c r="H19" s="138"/>
    </row>
    <row r="20" ht="56.55" customHeight="1">
      <c r="A20" t="s" s="139">
        <v>126</v>
      </c>
      <c r="B20" s="114">
        <v>64</v>
      </c>
      <c r="C20" s="116">
        <v>4100</v>
      </c>
      <c r="D20" s="114">
        <v>1</v>
      </c>
      <c r="E20" s="116" cm="1">
        <f t="array" ref="E20">B20*C20*D20</f>
        <v>262400</v>
      </c>
      <c r="F20" s="117"/>
      <c r="G20" s="137" cm="1">
        <f t="array" ref="G20">E20+F20</f>
        <v>262400</v>
      </c>
      <c r="H20" s="138"/>
    </row>
    <row r="21" ht="36.6" customHeight="1">
      <c r="A21" t="s" s="140">
        <v>127</v>
      </c>
      <c r="B21" s="141">
        <v>1</v>
      </c>
      <c r="C21" s="142">
        <v>63100</v>
      </c>
      <c r="D21" s="141">
        <v>1</v>
      </c>
      <c r="E21" s="142" cm="1">
        <f t="array" ref="E21">B21*C21*D21</f>
        <v>63100</v>
      </c>
      <c r="F21" s="143" cm="1">
        <f t="array" ref="F21">E21*0.1</f>
        <v>6310</v>
      </c>
      <c r="G21" s="144" cm="1">
        <f t="array" ref="G21">E21+F21</f>
        <v>69410</v>
      </c>
      <c r="H21" s="145"/>
    </row>
    <row r="22" ht="28.5" customHeight="1">
      <c r="A22" s="146"/>
      <c r="B22" s="147"/>
      <c r="C22" s="146"/>
      <c r="D22" s="147"/>
      <c r="E22" s="146"/>
      <c r="F22" s="146"/>
      <c r="G22" s="146"/>
      <c r="H22" s="146"/>
    </row>
    <row r="23" ht="50.9" customHeight="1">
      <c r="A23" t="s" s="148">
        <v>128</v>
      </c>
      <c r="B23" s="149"/>
      <c r="C23" s="150"/>
      <c r="D23" s="149"/>
      <c r="E23" s="150"/>
      <c r="F23" s="151"/>
      <c r="G23" s="314" cm="1">
        <f t="array" ref="G23">SUM(G25:G38)</f>
        <v>459756</v>
      </c>
      <c r="H23" s="315"/>
    </row>
    <row r="24" ht="20.45" customHeight="1">
      <c r="A24" t="s" s="154">
        <v>129</v>
      </c>
      <c r="B24" s="316"/>
      <c r="C24" s="317"/>
      <c r="D24" s="316"/>
      <c r="E24" s="317"/>
      <c r="F24" s="318"/>
      <c r="G24" s="319"/>
      <c r="H24" s="159"/>
    </row>
    <row r="25" ht="18" customHeight="1">
      <c r="A25" t="s" s="163">
        <v>130</v>
      </c>
      <c r="B25" s="164">
        <v>25</v>
      </c>
      <c r="C25" s="165">
        <v>3850</v>
      </c>
      <c r="D25" s="164">
        <v>2</v>
      </c>
      <c r="E25" s="165" cm="1">
        <f t="array" ref="E25">B25*C25*D25</f>
        <v>192500</v>
      </c>
      <c r="F25" s="166" cm="1">
        <f t="array" ref="F25">E25*0.1</f>
        <v>19250</v>
      </c>
      <c r="G25" s="167" cm="1">
        <f t="array" ref="G25">E25+F25</f>
        <v>211750</v>
      </c>
      <c r="H25" s="168"/>
    </row>
    <row r="26" ht="20.45" customHeight="1">
      <c r="A26" t="s" s="154">
        <v>8</v>
      </c>
      <c r="B26" s="316"/>
      <c r="C26" s="317"/>
      <c r="D26" s="316"/>
      <c r="E26" s="317"/>
      <c r="F26" s="318"/>
      <c r="G26" s="319"/>
      <c r="H26" s="159"/>
    </row>
    <row r="27" ht="18" customHeight="1">
      <c r="A27" t="s" s="160">
        <v>131</v>
      </c>
      <c r="B27" s="114">
        <v>30</v>
      </c>
      <c r="C27" s="116">
        <v>710</v>
      </c>
      <c r="D27" s="114">
        <v>1</v>
      </c>
      <c r="E27" s="116" cm="1">
        <f t="array" ref="E27">B27*C27*D27</f>
        <v>21300</v>
      </c>
      <c r="F27" s="117" cm="1">
        <f t="array" ref="F27">E27*0.1</f>
        <v>2130</v>
      </c>
      <c r="G27" s="161" cm="1">
        <f t="array" ref="G27">E27+F27</f>
        <v>23430</v>
      </c>
      <c r="H27" s="162"/>
    </row>
    <row r="28" ht="18" customHeight="1">
      <c r="A28" t="s" s="160">
        <v>132</v>
      </c>
      <c r="B28" s="114">
        <v>64</v>
      </c>
      <c r="C28" s="116">
        <v>0</v>
      </c>
      <c r="D28" s="114">
        <v>1</v>
      </c>
      <c r="E28" s="116" cm="1">
        <f t="array" ref="E28">B28*C28*D28</f>
        <v>0</v>
      </c>
      <c r="F28" s="117" cm="1">
        <f t="array" ref="F28">E28*0.1</f>
        <v>0</v>
      </c>
      <c r="G28" s="161" cm="1">
        <f t="array" ref="G28">E28+F28</f>
        <v>0</v>
      </c>
      <c r="H28" s="162"/>
    </row>
    <row r="29" ht="18" customHeight="1">
      <c r="A29" t="s" s="163">
        <v>133</v>
      </c>
      <c r="B29" s="164">
        <v>64</v>
      </c>
      <c r="C29" s="165">
        <v>210</v>
      </c>
      <c r="D29" s="164">
        <v>1</v>
      </c>
      <c r="E29" s="165" cm="1">
        <f t="array" ref="E29">B29*C29*D29</f>
        <v>13440</v>
      </c>
      <c r="F29" s="166" cm="1">
        <f t="array" ref="F29">E29*0.1</f>
        <v>1344</v>
      </c>
      <c r="G29" s="167" cm="1">
        <f t="array" ref="G29">E29+F29</f>
        <v>14784</v>
      </c>
      <c r="H29" s="168"/>
    </row>
    <row r="30" ht="20.45" customHeight="1">
      <c r="A30" t="s" s="154">
        <v>13</v>
      </c>
      <c r="B30" s="316"/>
      <c r="C30" s="317"/>
      <c r="D30" s="316"/>
      <c r="E30" s="317"/>
      <c r="F30" s="318"/>
      <c r="G30" s="319"/>
      <c r="H30" s="159"/>
    </row>
    <row r="31" ht="18" customHeight="1">
      <c r="A31" t="s" s="160">
        <v>134</v>
      </c>
      <c r="B31" s="114">
        <v>64</v>
      </c>
      <c r="C31" s="116">
        <v>410</v>
      </c>
      <c r="D31" s="114">
        <v>1</v>
      </c>
      <c r="E31" s="116" cm="1">
        <f t="array" ref="E31">B31*C31*D31</f>
        <v>26240</v>
      </c>
      <c r="F31" s="117" cm="1">
        <f t="array" ref="F31">E31*0.1</f>
        <v>2624</v>
      </c>
      <c r="G31" s="161" cm="1">
        <f t="array" ref="G31">E31+F31</f>
        <v>28864</v>
      </c>
      <c r="H31" s="162"/>
    </row>
    <row r="32" ht="32" customHeight="1">
      <c r="A32" t="s" s="160">
        <v>135</v>
      </c>
      <c r="B32" s="114">
        <v>64</v>
      </c>
      <c r="C32" s="116">
        <v>260</v>
      </c>
      <c r="D32" s="114">
        <v>1</v>
      </c>
      <c r="E32" s="116" cm="1">
        <f t="array" ref="E32">B32*C32*D32</f>
        <v>16640</v>
      </c>
      <c r="F32" s="117" cm="1">
        <f t="array" ref="F32">E32*0.1</f>
        <v>1664</v>
      </c>
      <c r="G32" s="161" cm="1">
        <f t="array" ref="G32">E32+F32</f>
        <v>18304</v>
      </c>
      <c r="H32" s="162"/>
    </row>
    <row r="33" ht="18" customHeight="1">
      <c r="A33" t="s" s="160">
        <v>136</v>
      </c>
      <c r="B33" s="114">
        <v>64</v>
      </c>
      <c r="C33" s="116">
        <v>710</v>
      </c>
      <c r="D33" s="114">
        <v>1</v>
      </c>
      <c r="E33" s="116" cm="1">
        <f t="array" ref="E33">B33*C33*D33</f>
        <v>45440</v>
      </c>
      <c r="F33" s="117" cm="1">
        <f t="array" ref="F33">E33*0.1</f>
        <v>4544</v>
      </c>
      <c r="G33" s="161" cm="1">
        <f t="array" ref="G33">E33+F33</f>
        <v>49984</v>
      </c>
      <c r="H33" s="162"/>
    </row>
    <row r="34" ht="18" customHeight="1">
      <c r="A34" t="s" s="160">
        <v>137</v>
      </c>
      <c r="B34" s="114">
        <v>64</v>
      </c>
      <c r="C34" s="116">
        <v>710</v>
      </c>
      <c r="D34" s="114">
        <v>1</v>
      </c>
      <c r="E34" s="116" cm="1">
        <f t="array" ref="E34">B34*C34*D34</f>
        <v>45440</v>
      </c>
      <c r="F34" s="117" cm="1">
        <f t="array" ref="F34">E34*0.1</f>
        <v>4544</v>
      </c>
      <c r="G34" s="161" cm="1">
        <f t="array" ref="G34">E34+F34</f>
        <v>49984</v>
      </c>
      <c r="H34" s="162"/>
    </row>
    <row r="35" ht="18" customHeight="1">
      <c r="A35" t="s" s="160">
        <v>133</v>
      </c>
      <c r="B35" s="114">
        <v>64</v>
      </c>
      <c r="C35" s="116">
        <v>210</v>
      </c>
      <c r="D35" s="114">
        <v>1</v>
      </c>
      <c r="E35" s="116" cm="1">
        <f t="array" ref="E35">B35*C35*D35</f>
        <v>13440</v>
      </c>
      <c r="F35" s="117" cm="1">
        <f t="array" ref="F35">E35*0.1</f>
        <v>1344</v>
      </c>
      <c r="G35" s="161" cm="1">
        <f t="array" ref="G35">E35+F35</f>
        <v>14784</v>
      </c>
      <c r="H35" s="162"/>
    </row>
    <row r="36" ht="18" customHeight="1">
      <c r="A36" t="s" s="163">
        <v>138</v>
      </c>
      <c r="B36" s="164">
        <v>64</v>
      </c>
      <c r="C36" s="165">
        <v>270</v>
      </c>
      <c r="D36" s="164">
        <v>1</v>
      </c>
      <c r="E36" s="165" cm="1">
        <f t="array" ref="E36">B36*C36*D36</f>
        <v>17280</v>
      </c>
      <c r="F36" s="166" cm="1">
        <f t="array" ref="F36">E36*0.1</f>
        <v>1728</v>
      </c>
      <c r="G36" s="167" cm="1">
        <f t="array" ref="G36">E36+F36</f>
        <v>19008</v>
      </c>
      <c r="H36" s="168"/>
    </row>
    <row r="37" ht="20.45" customHeight="1">
      <c r="A37" t="s" s="154">
        <v>139</v>
      </c>
      <c r="B37" s="316"/>
      <c r="C37" s="317"/>
      <c r="D37" s="316"/>
      <c r="E37" s="317"/>
      <c r="F37" s="318"/>
      <c r="G37" s="319"/>
      <c r="H37" s="159"/>
    </row>
    <row r="38" ht="25" customHeight="1">
      <c r="A38" t="s" s="169">
        <v>140</v>
      </c>
      <c r="B38" s="170">
        <v>64</v>
      </c>
      <c r="C38" s="171">
        <v>410</v>
      </c>
      <c r="D38" s="170">
        <v>1</v>
      </c>
      <c r="E38" s="171" cm="1">
        <f t="array" ref="E38">B38*C38*D38</f>
        <v>26240</v>
      </c>
      <c r="F38" s="172" cm="1">
        <f t="array" ref="F38">E38*0.1</f>
        <v>2624</v>
      </c>
      <c r="G38" s="173" cm="1">
        <f t="array" ref="G38">E38+F38</f>
        <v>28864</v>
      </c>
      <c r="H38" s="174"/>
    </row>
    <row r="39" ht="24.7" customHeight="1">
      <c r="A39" s="320"/>
      <c r="B39" s="321"/>
      <c r="C39" s="322"/>
      <c r="D39" s="321"/>
      <c r="E39" s="322"/>
      <c r="F39" s="323"/>
      <c r="G39" s="324"/>
      <c r="H39" s="324"/>
    </row>
    <row r="40" ht="24.7" customHeight="1">
      <c r="A40" s="325"/>
      <c r="B40" s="326"/>
      <c r="C40" s="327"/>
      <c r="D40" s="326"/>
      <c r="E40" s="327"/>
      <c r="F40" s="328"/>
      <c r="G40" s="329"/>
      <c r="H40" s="329"/>
    </row>
    <row r="41" ht="24.7" customHeight="1">
      <c r="A41" s="330"/>
      <c r="B41" s="331"/>
      <c r="C41" s="332"/>
      <c r="D41" s="331"/>
      <c r="E41" s="332"/>
      <c r="F41" s="333"/>
      <c r="G41" s="334"/>
      <c r="H41" s="334"/>
    </row>
    <row r="42" ht="49.5" customHeight="1">
      <c r="A42" t="s" s="335">
        <v>141</v>
      </c>
      <c r="B42" s="336"/>
      <c r="C42" s="337"/>
      <c r="D42" s="336"/>
      <c r="E42" s="337"/>
      <c r="F42" s="338"/>
      <c r="G42" s="339" cm="1">
        <f t="array" ref="G42">G43+G47+G50+G53+G58</f>
        <v>656568</v>
      </c>
      <c r="H42" s="340"/>
    </row>
    <row r="43" ht="24.7" customHeight="1">
      <c r="A43" t="s" s="341">
        <v>142</v>
      </c>
      <c r="B43" s="342"/>
      <c r="C43" s="343"/>
      <c r="D43" s="342"/>
      <c r="E43" s="343"/>
      <c r="F43" s="344"/>
      <c r="G43" s="345" cm="1">
        <f t="array" ref="G43">SUM(G44:G46)</f>
        <v>379500</v>
      </c>
      <c r="H43" s="346"/>
    </row>
    <row r="44" ht="40.45" customHeight="1">
      <c r="A44" t="s" s="347">
        <v>143</v>
      </c>
      <c r="B44" s="114">
        <v>25</v>
      </c>
      <c r="C44" s="116">
        <v>8600</v>
      </c>
      <c r="D44" s="114">
        <v>1</v>
      </c>
      <c r="E44" s="116" cm="1">
        <f t="array" ref="E44">B44*C44*D44</f>
        <v>215000</v>
      </c>
      <c r="F44" s="117" cm="1">
        <f t="array" ref="F44">E44*0.1</f>
        <v>21500</v>
      </c>
      <c r="G44" s="348" cm="1">
        <f t="array" ref="G44">E44+F44</f>
        <v>236500</v>
      </c>
      <c r="H44" s="349"/>
    </row>
    <row r="45" ht="24.7" customHeight="1">
      <c r="A45" t="s" s="347">
        <v>144</v>
      </c>
      <c r="B45" s="114">
        <v>5</v>
      </c>
      <c r="C45" s="116">
        <v>22000</v>
      </c>
      <c r="D45" s="114">
        <v>1</v>
      </c>
      <c r="E45" s="116" cm="1">
        <f t="array" ref="E45">B45*C45*D45</f>
        <v>110000</v>
      </c>
      <c r="F45" s="117" cm="1">
        <f t="array" ref="F45">E45*0.1</f>
        <v>11000</v>
      </c>
      <c r="G45" s="348" cm="1">
        <f t="array" ref="G45">E45+F45</f>
        <v>121000</v>
      </c>
      <c r="H45" s="349"/>
    </row>
    <row r="46" ht="24.7" customHeight="1">
      <c r="A46" t="s" s="350">
        <v>145</v>
      </c>
      <c r="B46" s="202">
        <v>40</v>
      </c>
      <c r="C46" s="203">
        <v>500</v>
      </c>
      <c r="D46" s="202">
        <v>1</v>
      </c>
      <c r="E46" s="203" cm="1">
        <f t="array" ref="E46">B46*C46*D46</f>
        <v>20000</v>
      </c>
      <c r="F46" s="204" cm="1">
        <f t="array" ref="F46">E46*0.1</f>
        <v>2000</v>
      </c>
      <c r="G46" s="351" cm="1">
        <f t="array" ref="G46">E46+F46</f>
        <v>22000</v>
      </c>
      <c r="H46" s="352"/>
    </row>
    <row r="47" ht="20.95" customHeight="1">
      <c r="A47" t="s" s="353">
        <v>21</v>
      </c>
      <c r="B47" s="354"/>
      <c r="C47" s="355"/>
      <c r="D47" s="354"/>
      <c r="E47" s="355"/>
      <c r="F47" s="356"/>
      <c r="G47" s="357" cm="1">
        <f t="array" ref="G47">SUM(G48:G49)</f>
        <v>47234</v>
      </c>
      <c r="H47" s="358"/>
    </row>
    <row r="48" ht="18" customHeight="1">
      <c r="A48" t="s" s="347">
        <v>146</v>
      </c>
      <c r="B48" s="114">
        <v>1</v>
      </c>
      <c r="C48" s="116">
        <v>12000</v>
      </c>
      <c r="D48" s="114">
        <v>1</v>
      </c>
      <c r="E48" s="116" cm="1">
        <f t="array" ref="E48">B48*C48*D48</f>
        <v>12000</v>
      </c>
      <c r="F48" s="117" cm="1">
        <f t="array" ref="F48">E48*0.1</f>
        <v>1200</v>
      </c>
      <c r="G48" s="348" cm="1">
        <f t="array" ref="G48">E48+F48</f>
        <v>13200</v>
      </c>
      <c r="H48" s="349"/>
    </row>
    <row r="49" ht="20.95" customHeight="1">
      <c r="A49" t="s" s="350">
        <v>147</v>
      </c>
      <c r="B49" s="202">
        <v>7</v>
      </c>
      <c r="C49" s="203">
        <v>2210</v>
      </c>
      <c r="D49" s="202">
        <v>2</v>
      </c>
      <c r="E49" s="203" cm="1">
        <f t="array" ref="E49">B49*C49*D49</f>
        <v>30940</v>
      </c>
      <c r="F49" s="204" cm="1">
        <f t="array" ref="F49">E49*0.1</f>
        <v>3094</v>
      </c>
      <c r="G49" s="351" cm="1">
        <f t="array" ref="G49">E49+F49</f>
        <v>34034</v>
      </c>
      <c r="H49" s="352"/>
    </row>
    <row r="50" ht="20.95" customHeight="1">
      <c r="A50" t="s" s="353">
        <v>101</v>
      </c>
      <c r="B50" s="354"/>
      <c r="C50" s="355"/>
      <c r="D50" s="354"/>
      <c r="E50" s="355"/>
      <c r="F50" s="356"/>
      <c r="G50" s="357" cm="1">
        <f t="array" ref="G50">SUM(G51:G52)</f>
        <v>47234</v>
      </c>
      <c r="H50" s="358"/>
    </row>
    <row r="51" ht="25.35" customHeight="1">
      <c r="A51" t="s" s="347">
        <v>146</v>
      </c>
      <c r="B51" s="114">
        <v>1</v>
      </c>
      <c r="C51" s="116">
        <v>12000</v>
      </c>
      <c r="D51" s="114">
        <v>1</v>
      </c>
      <c r="E51" s="116" cm="1">
        <f t="array" ref="E51">B51*C51*D51</f>
        <v>12000</v>
      </c>
      <c r="F51" s="117" cm="1">
        <f t="array" ref="F51">E51*0.1</f>
        <v>1200</v>
      </c>
      <c r="G51" s="348" cm="1">
        <f t="array" ref="G51">E51+F51</f>
        <v>13200</v>
      </c>
      <c r="H51" s="349"/>
    </row>
    <row r="52" ht="20.95" customHeight="1">
      <c r="A52" t="s" s="350">
        <v>147</v>
      </c>
      <c r="B52" s="202">
        <v>7</v>
      </c>
      <c r="C52" s="203">
        <v>2210</v>
      </c>
      <c r="D52" s="202">
        <v>2</v>
      </c>
      <c r="E52" s="203" cm="1">
        <f t="array" ref="E52">B52*C52*D52</f>
        <v>30940</v>
      </c>
      <c r="F52" s="204" cm="1">
        <f t="array" ref="F52">E52*0.1</f>
        <v>3094</v>
      </c>
      <c r="G52" s="351" cm="1">
        <f t="array" ref="G52">E52+F52</f>
        <v>34034</v>
      </c>
      <c r="H52" s="352"/>
    </row>
    <row r="53" ht="20.95" customHeight="1">
      <c r="A53" t="s" s="353">
        <v>102</v>
      </c>
      <c r="B53" s="354"/>
      <c r="C53" s="355"/>
      <c r="D53" s="354"/>
      <c r="E53" s="355"/>
      <c r="F53" s="356"/>
      <c r="G53" s="357" cm="1">
        <f t="array" ref="G53">SUM(G54:G57)</f>
        <v>143000</v>
      </c>
      <c r="H53" s="358"/>
    </row>
    <row r="54" ht="20.95" customHeight="1">
      <c r="A54" t="s" s="359">
        <v>103</v>
      </c>
      <c r="B54" s="326">
        <v>3</v>
      </c>
      <c r="C54" s="327">
        <v>7200</v>
      </c>
      <c r="D54" s="326">
        <v>2</v>
      </c>
      <c r="E54" s="116" cm="1">
        <f t="array" ref="E54">B54*C54*D54</f>
        <v>43200</v>
      </c>
      <c r="F54" s="117" cm="1">
        <f t="array" ref="F54">E54*0.1</f>
        <v>4320</v>
      </c>
      <c r="G54" s="348" cm="1">
        <f t="array" ref="G54">E54+F54</f>
        <v>47520</v>
      </c>
      <c r="H54" s="349"/>
    </row>
    <row r="55" ht="20.95" customHeight="1">
      <c r="A55" t="s" s="359">
        <v>104</v>
      </c>
      <c r="B55" s="326">
        <v>6</v>
      </c>
      <c r="C55" s="327">
        <v>5200</v>
      </c>
      <c r="D55" s="326">
        <v>2</v>
      </c>
      <c r="E55" s="116" cm="1">
        <f t="array" ref="E55">B55*C55*D55</f>
        <v>62400</v>
      </c>
      <c r="F55" s="117" cm="1">
        <f t="array" ref="F55">E55*0.1</f>
        <v>6240</v>
      </c>
      <c r="G55" s="348" cm="1">
        <f t="array" ref="G55">E55+F55</f>
        <v>68640</v>
      </c>
      <c r="H55" s="349"/>
    </row>
    <row r="56" ht="20.95" customHeight="1">
      <c r="A56" t="s" s="359">
        <v>105</v>
      </c>
      <c r="B56" s="326">
        <v>1</v>
      </c>
      <c r="C56" s="327">
        <v>7200</v>
      </c>
      <c r="D56" s="326">
        <v>2</v>
      </c>
      <c r="E56" s="116" cm="1">
        <f t="array" ref="E56">B56*C56*D56</f>
        <v>14400</v>
      </c>
      <c r="F56" s="117" cm="1">
        <f t="array" ref="F56">E56*0.1</f>
        <v>1440</v>
      </c>
      <c r="G56" s="348" cm="1">
        <f t="array" ref="G56">E56+F56</f>
        <v>15840</v>
      </c>
      <c r="H56" s="349"/>
    </row>
    <row r="57" ht="20.95" customHeight="1">
      <c r="A57" t="s" s="360">
        <v>106</v>
      </c>
      <c r="B57" s="361">
        <v>2</v>
      </c>
      <c r="C57" s="362">
        <v>2500</v>
      </c>
      <c r="D57" s="361">
        <v>2</v>
      </c>
      <c r="E57" s="116" cm="1">
        <f t="array" ref="E57">B57*C57*D57</f>
        <v>10000</v>
      </c>
      <c r="F57" s="117" cm="1">
        <f t="array" ref="F57">E57*0.1</f>
        <v>1000</v>
      </c>
      <c r="G57" s="348" cm="1">
        <f t="array" ref="G57">E57+F57</f>
        <v>11000</v>
      </c>
      <c r="H57" s="349"/>
    </row>
    <row r="58" ht="25" customHeight="1">
      <c r="A58" t="s" s="363">
        <v>46</v>
      </c>
      <c r="B58" s="364">
        <v>1</v>
      </c>
      <c r="C58" s="365">
        <v>36000</v>
      </c>
      <c r="D58" s="364">
        <v>1</v>
      </c>
      <c r="E58" s="366" cm="1">
        <f t="array" ref="E58">B58*C58*D58</f>
        <v>36000</v>
      </c>
      <c r="F58" s="367" cm="1">
        <f t="array" ref="F58">E58*0.1</f>
        <v>3600</v>
      </c>
      <c r="G58" s="368" cm="1">
        <f t="array" ref="G58">E58+F58</f>
        <v>39600</v>
      </c>
      <c r="H58" s="369"/>
    </row>
    <row r="59" ht="19" customHeight="1">
      <c r="A59" s="370"/>
      <c r="B59" s="371"/>
      <c r="C59" s="372"/>
      <c r="D59" s="371"/>
      <c r="E59" s="372"/>
      <c r="F59" s="373"/>
      <c r="G59" s="374"/>
      <c r="H59" s="374"/>
    </row>
    <row r="60" ht="19" customHeight="1">
      <c r="A60" s="244"/>
      <c r="B60" s="245"/>
      <c r="C60" s="246"/>
      <c r="D60" s="245"/>
      <c r="E60" s="246"/>
      <c r="F60" s="247"/>
      <c r="G60" s="248"/>
      <c r="H60" s="248"/>
    </row>
    <row r="61" ht="55.15" customHeight="1">
      <c r="A61" t="s" s="249">
        <v>57</v>
      </c>
      <c r="B61" s="250"/>
      <c r="C61" s="250"/>
      <c r="D61" s="250"/>
      <c r="E61" s="250"/>
      <c r="F61" s="250"/>
      <c r="G61" s="251" cm="1">
        <f t="array" ref="G61">G4</f>
        <v>123932</v>
      </c>
      <c r="H61" s="252"/>
    </row>
    <row r="62" ht="55.15" customHeight="1">
      <c r="A62" t="s" s="253">
        <v>120</v>
      </c>
      <c r="B62" s="254"/>
      <c r="C62" s="255"/>
      <c r="D62" s="254"/>
      <c r="E62" s="255"/>
      <c r="F62" s="256"/>
      <c r="G62" s="257" cm="1">
        <f t="array" ref="G62">G11</f>
        <v>554060</v>
      </c>
      <c r="H62" s="258"/>
    </row>
    <row r="63" ht="55.15" customHeight="1">
      <c r="A63" t="s" s="375">
        <v>128</v>
      </c>
      <c r="B63" s="376"/>
      <c r="C63" s="377"/>
      <c r="D63" s="376"/>
      <c r="E63" s="377"/>
      <c r="F63" s="378"/>
      <c r="G63" s="379" cm="1">
        <f t="array" ref="G63">G23</f>
        <v>459756</v>
      </c>
      <c r="H63" s="380"/>
    </row>
    <row r="64" ht="55.15" customHeight="1">
      <c r="A64" t="s" s="381">
        <v>141</v>
      </c>
      <c r="B64" s="382"/>
      <c r="C64" s="383"/>
      <c r="D64" s="382"/>
      <c r="E64" s="383"/>
      <c r="F64" s="384"/>
      <c r="G64" s="385" cm="1">
        <f t="array" ref="G64">G42</f>
        <v>656568</v>
      </c>
      <c r="H64" s="386"/>
    </row>
    <row r="65" ht="55.15" customHeight="1">
      <c r="A65" t="s" s="272">
        <v>111</v>
      </c>
      <c r="B65" s="273"/>
      <c r="C65" s="274"/>
      <c r="D65" s="273"/>
      <c r="E65" s="274"/>
      <c r="F65" s="275"/>
      <c r="G65" s="276"/>
      <c r="H65" s="277" cm="1">
        <f t="array" ref="H65">H5+H6</f>
        <v>161000</v>
      </c>
    </row>
    <row r="66" ht="20" customHeight="1">
      <c r="A66" s="278"/>
      <c r="B66" s="279"/>
      <c r="C66" s="280"/>
      <c r="D66" s="279"/>
      <c r="E66" s="280"/>
      <c r="F66" s="281"/>
      <c r="G66" s="282"/>
      <c r="H66" s="282"/>
    </row>
    <row r="67" ht="41.05" customHeight="1">
      <c r="A67" t="s" s="387">
        <v>112</v>
      </c>
      <c r="B67" t="s" s="388">
        <v>148</v>
      </c>
      <c r="C67" s="389"/>
      <c r="D67" s="389"/>
      <c r="E67" s="389"/>
      <c r="F67" s="389"/>
      <c r="G67" s="287" cm="1">
        <f t="array" ref="G67">SUM(G61:G64)</f>
        <v>1794316</v>
      </c>
      <c r="H67" s="288"/>
    </row>
    <row r="68" ht="41.05" customHeight="1">
      <c r="A68" t="s" s="390">
        <v>149</v>
      </c>
      <c r="B68" s="391"/>
      <c r="C68" s="392"/>
      <c r="D68" s="392"/>
      <c r="E68" s="392"/>
      <c r="F68" s="392"/>
      <c r="G68" s="393"/>
      <c r="H68" s="394"/>
    </row>
  </sheetData>
  <mergeCells count="3">
    <mergeCell ref="A1:G1"/>
    <mergeCell ref="B67:F67"/>
    <mergeCell ref="B68:F68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G105"/>
  <sheetViews>
    <sheetView workbookViewId="0" showGridLines="0" defaultGridColor="1">
      <pane topLeftCell="B4" xSplit="1" ySplit="3" activePane="bottomRight" state="frozen"/>
    </sheetView>
  </sheetViews>
  <sheetFormatPr defaultColWidth="16.3333" defaultRowHeight="19.9" customHeight="1" outlineLevelRow="0" outlineLevelCol="0"/>
  <cols>
    <col min="1" max="1" width="68.4219" style="395" customWidth="1"/>
    <col min="2" max="2" width="17.5" style="395" customWidth="1"/>
    <col min="3" max="3" width="15.9219" style="395" customWidth="1"/>
    <col min="4" max="4" width="14.9922" style="395" customWidth="1"/>
    <col min="5" max="5" width="15.3516" style="395" customWidth="1"/>
    <col min="6" max="6" width="16.25" style="395" customWidth="1"/>
    <col min="7" max="7" width="19.2266" style="395" customWidth="1"/>
    <col min="8" max="16384" width="16.3516" style="395" customWidth="1"/>
  </cols>
  <sheetData>
    <row r="1" ht="81" customHeight="1">
      <c r="A1" t="s" s="2">
        <v>150</v>
      </c>
      <c r="B1" s="3"/>
      <c r="C1" s="3"/>
      <c r="D1" s="3"/>
      <c r="E1" s="3"/>
      <c r="F1" s="3"/>
      <c r="G1" s="4"/>
    </row>
    <row r="2" ht="18.3" customHeight="1">
      <c r="A2" s="5"/>
      <c r="B2" s="5"/>
      <c r="C2" s="5"/>
      <c r="D2" s="5"/>
      <c r="E2" s="5"/>
      <c r="F2" s="5"/>
      <c r="G2" s="5"/>
    </row>
    <row r="3" ht="47.8" customHeight="1">
      <c r="A3" s="80"/>
      <c r="B3" t="s" s="81">
        <v>1</v>
      </c>
      <c r="C3" t="s" s="81">
        <v>2</v>
      </c>
      <c r="D3" t="s" s="81">
        <v>3</v>
      </c>
      <c r="E3" t="s" s="81">
        <v>4</v>
      </c>
      <c r="F3" t="s" s="81">
        <v>5</v>
      </c>
      <c r="G3" t="s" s="81">
        <v>6</v>
      </c>
    </row>
    <row r="4" ht="52.3" customHeight="1">
      <c r="A4" t="s" s="36">
        <v>28</v>
      </c>
      <c r="B4" s="37"/>
      <c r="C4" s="37"/>
      <c r="D4" s="37"/>
      <c r="E4" s="37"/>
      <c r="F4" s="37"/>
      <c r="G4" s="38" cm="1">
        <f t="array" ref="G4">SUM(G5:G8)</f>
        <v>66000</v>
      </c>
    </row>
    <row r="5" ht="51.5" customHeight="1">
      <c r="A5" t="s" s="39">
        <v>30</v>
      </c>
      <c r="B5" s="17">
        <v>1</v>
      </c>
      <c r="C5" s="40">
        <v>63000</v>
      </c>
      <c r="D5" s="17">
        <v>1</v>
      </c>
      <c r="E5" s="18" cm="1">
        <f t="array" ref="E5">B5*C5*D5</f>
        <v>63000</v>
      </c>
      <c r="F5" s="396" cm="1">
        <f t="array" ref="F5">E5</f>
        <v>63000</v>
      </c>
      <c r="G5" t="s" s="397">
        <v>151</v>
      </c>
    </row>
    <row r="6" ht="60.15" customHeight="1">
      <c r="A6" t="s" s="83">
        <v>31</v>
      </c>
      <c r="B6" s="17">
        <v>1</v>
      </c>
      <c r="C6" s="18">
        <v>30000</v>
      </c>
      <c r="D6" s="17">
        <v>1</v>
      </c>
      <c r="E6" s="18" cm="1">
        <f t="array" ref="E6">B6*C6*D6</f>
        <v>30000</v>
      </c>
      <c r="F6" s="19"/>
      <c r="G6" s="41" cm="1">
        <f t="array" ref="G6">E6</f>
        <v>30000</v>
      </c>
    </row>
    <row r="7" ht="27.8" customHeight="1">
      <c r="A7" t="s" s="83">
        <v>152</v>
      </c>
      <c r="B7" s="17">
        <v>1</v>
      </c>
      <c r="C7" s="18">
        <v>15000</v>
      </c>
      <c r="D7" s="17">
        <v>1</v>
      </c>
      <c r="E7" s="18" cm="1">
        <f t="array" ref="E7">B7*C7*D7</f>
        <v>15000</v>
      </c>
      <c r="F7" s="19"/>
      <c r="G7" s="41" cm="1">
        <f t="array" ref="G7">E7</f>
        <v>15000</v>
      </c>
    </row>
    <row r="8" ht="46.3" customHeight="1">
      <c r="A8" t="s" s="42">
        <v>153</v>
      </c>
      <c r="B8" s="43">
        <v>1</v>
      </c>
      <c r="C8" s="44">
        <v>3500</v>
      </c>
      <c r="D8" s="43">
        <v>6</v>
      </c>
      <c r="E8" s="44" cm="1">
        <f t="array" ref="E8">B8*C8*D8</f>
        <v>21000</v>
      </c>
      <c r="F8" s="45"/>
      <c r="G8" s="46" cm="1">
        <f t="array" ref="G8">E8</f>
        <v>21000</v>
      </c>
    </row>
    <row r="9" ht="21.55" customHeight="1">
      <c r="A9" s="47"/>
      <c r="B9" s="48"/>
      <c r="C9" s="49"/>
      <c r="D9" s="48"/>
      <c r="E9" s="49"/>
      <c r="F9" s="47"/>
      <c r="G9" s="49"/>
    </row>
    <row r="10" ht="57.15" customHeight="1">
      <c r="A10" t="s" s="50">
        <v>33</v>
      </c>
      <c r="B10" s="51"/>
      <c r="C10" s="52"/>
      <c r="D10" s="51"/>
      <c r="E10" s="52"/>
      <c r="F10" s="53"/>
      <c r="G10" s="54" cm="1">
        <f t="array" ref="G10">SUM(G11:G14)</f>
        <v>252780</v>
      </c>
    </row>
    <row r="11" ht="29.25" customHeight="1">
      <c r="A11" t="s" s="55">
        <v>154</v>
      </c>
      <c r="B11" s="17">
        <v>2</v>
      </c>
      <c r="C11" s="18">
        <v>3600</v>
      </c>
      <c r="D11" s="17">
        <v>6</v>
      </c>
      <c r="E11" s="18" cm="1">
        <f t="array" ref="E11">B11*C11*D11</f>
        <v>43200</v>
      </c>
      <c r="F11" s="19" cm="1">
        <f t="array" ref="F11">E11*0.1</f>
        <v>4320</v>
      </c>
      <c r="G11" s="56" cm="1">
        <f t="array" ref="G11">E11+F11</f>
        <v>47520</v>
      </c>
    </row>
    <row r="12" ht="29.25" customHeight="1">
      <c r="A12" t="s" s="55">
        <v>155</v>
      </c>
      <c r="B12" s="17">
        <v>2</v>
      </c>
      <c r="C12" s="18">
        <v>4100</v>
      </c>
      <c r="D12" s="17">
        <v>6</v>
      </c>
      <c r="E12" s="18" cm="1">
        <f t="array" ref="E12">B12*C12*D12</f>
        <v>49200</v>
      </c>
      <c r="F12" s="19" cm="1">
        <f t="array" ref="F12">E12*0.1</f>
        <v>4920</v>
      </c>
      <c r="G12" s="56" cm="1">
        <f t="array" ref="G12">E12+F12</f>
        <v>54120</v>
      </c>
    </row>
    <row r="13" ht="61.75" customHeight="1">
      <c r="A13" t="s" s="57">
        <v>35</v>
      </c>
      <c r="B13" s="17">
        <v>1</v>
      </c>
      <c r="C13" s="18">
        <v>21100</v>
      </c>
      <c r="D13" s="17">
        <v>6</v>
      </c>
      <c r="E13" s="18" cm="1">
        <f t="array" ref="E13">B13*C13*D13</f>
        <v>126600</v>
      </c>
      <c r="F13" s="19" cm="1">
        <f t="array" ref="F13">E13*0.1</f>
        <v>12660</v>
      </c>
      <c r="G13" s="56" cm="1">
        <f t="array" ref="G13">E13+F13</f>
        <v>139260</v>
      </c>
    </row>
    <row r="14" ht="36.6" customHeight="1">
      <c r="A14" t="s" s="58">
        <v>36</v>
      </c>
      <c r="B14" s="59">
        <v>4</v>
      </c>
      <c r="C14" s="60">
        <v>900</v>
      </c>
      <c r="D14" s="59">
        <v>3</v>
      </c>
      <c r="E14" s="60" cm="1">
        <f t="array" ref="E14">B14*C14*D14</f>
        <v>10800</v>
      </c>
      <c r="F14" s="61" cm="1">
        <f t="array" ref="F14">E14*0.1</f>
        <v>1080</v>
      </c>
      <c r="G14" s="62" cm="1">
        <f t="array" ref="G14">E14+F14</f>
        <v>11880</v>
      </c>
    </row>
    <row r="15" ht="21.55" customHeight="1">
      <c r="A15" s="63"/>
      <c r="B15" s="64"/>
      <c r="C15" s="63"/>
      <c r="D15" s="64"/>
      <c r="E15" s="63"/>
      <c r="F15" s="63"/>
      <c r="G15" s="63"/>
    </row>
    <row r="16" ht="58.7" customHeight="1">
      <c r="A16" t="s" s="8">
        <v>37</v>
      </c>
      <c r="B16" s="9"/>
      <c r="C16" s="9"/>
      <c r="D16" s="9"/>
      <c r="E16" s="9"/>
      <c r="F16" s="9"/>
      <c r="G16" s="10" cm="1">
        <f t="array" ref="G16">G17+G28+G40+G53+G69+G85</f>
        <v>1110515</v>
      </c>
    </row>
    <row r="17" ht="51.9" customHeight="1">
      <c r="A17" t="s" s="11">
        <v>156</v>
      </c>
      <c r="B17" s="12"/>
      <c r="C17" s="13"/>
      <c r="D17" s="12"/>
      <c r="E17" s="13"/>
      <c r="F17" s="14"/>
      <c r="G17" s="15" cm="1">
        <f t="array" ref="G17">SUM(G18:G26)</f>
        <v>154070</v>
      </c>
    </row>
    <row r="18" ht="49.7" customHeight="1">
      <c r="A18" t="s" s="85">
        <v>157</v>
      </c>
      <c r="B18" s="17">
        <v>30</v>
      </c>
      <c r="C18" s="18">
        <v>1100</v>
      </c>
      <c r="D18" s="17">
        <v>1</v>
      </c>
      <c r="E18" s="18" cm="1">
        <f t="array" ref="E18">B18*C18*D18</f>
        <v>33000</v>
      </c>
      <c r="F18" s="19" cm="1">
        <f t="array" ref="F18">E18*0.1</f>
        <v>3300</v>
      </c>
      <c r="G18" s="20" cm="1">
        <f t="array" ref="G18">E18+F18</f>
        <v>36300</v>
      </c>
    </row>
    <row r="19" ht="25.1" customHeight="1">
      <c r="A19" t="s" s="85">
        <v>158</v>
      </c>
      <c r="B19" s="17">
        <v>30</v>
      </c>
      <c r="C19" s="18">
        <v>1250</v>
      </c>
      <c r="D19" s="17">
        <v>1</v>
      </c>
      <c r="E19" s="18" cm="1">
        <f t="array" ref="E19">B19*C19*D19</f>
        <v>37500</v>
      </c>
      <c r="F19" s="19" cm="1">
        <f t="array" ref="F19">E19*0.1</f>
        <v>3750</v>
      </c>
      <c r="G19" s="20" cm="1">
        <f t="array" ref="G19">E19+F19</f>
        <v>41250</v>
      </c>
    </row>
    <row r="20" ht="25.1" customHeight="1">
      <c r="A20" t="s" s="398">
        <v>159</v>
      </c>
      <c r="B20" s="399">
        <v>30</v>
      </c>
      <c r="C20" s="400">
        <v>350</v>
      </c>
      <c r="D20" s="399">
        <v>1</v>
      </c>
      <c r="E20" s="400" cm="1">
        <f t="array" ref="E20">B20*C20*D20</f>
        <v>10500</v>
      </c>
      <c r="F20" s="401" cm="1">
        <f t="array" ref="F20">E20*0.1</f>
        <v>1050</v>
      </c>
      <c r="G20" s="402" cm="1">
        <f t="array" ref="G20">E20+F20</f>
        <v>11550</v>
      </c>
    </row>
    <row r="21" ht="25.4" customHeight="1">
      <c r="A21" t="s" s="403">
        <v>160</v>
      </c>
      <c r="B21" s="404"/>
      <c r="C21" s="405"/>
      <c r="D21" s="404"/>
      <c r="E21" s="405"/>
      <c r="F21" s="406"/>
      <c r="G21" s="407"/>
    </row>
    <row r="22" ht="35.25" customHeight="1">
      <c r="A22" t="s" s="408">
        <v>98</v>
      </c>
      <c r="B22" s="409">
        <v>2</v>
      </c>
      <c r="C22" s="410">
        <v>7750</v>
      </c>
      <c r="D22" s="409">
        <v>1</v>
      </c>
      <c r="E22" s="410" cm="1">
        <f t="array" ref="E22">B22*C22*D22</f>
        <v>15500</v>
      </c>
      <c r="F22" s="411" cm="1">
        <f t="array" ref="F22">E22*0.1</f>
        <v>1550</v>
      </c>
      <c r="G22" s="412" cm="1">
        <f t="array" ref="G22">E22+F22</f>
        <v>17050</v>
      </c>
    </row>
    <row r="23" ht="24.7" customHeight="1">
      <c r="A23" t="s" s="408">
        <v>161</v>
      </c>
      <c r="B23" s="409">
        <v>2</v>
      </c>
      <c r="C23" s="410">
        <v>3100</v>
      </c>
      <c r="D23" s="409">
        <v>1</v>
      </c>
      <c r="E23" s="410" cm="1">
        <f t="array" ref="E23">B23*C23*D23</f>
        <v>6200</v>
      </c>
      <c r="F23" s="411" cm="1">
        <f t="array" ref="F23">E23*0.1</f>
        <v>620</v>
      </c>
      <c r="G23" s="412" cm="1">
        <f t="array" ref="G23">E23+F23</f>
        <v>6820</v>
      </c>
    </row>
    <row r="24" ht="20.75" customHeight="1">
      <c r="A24" t="s" s="413">
        <v>44</v>
      </c>
      <c r="B24" s="414">
        <v>2</v>
      </c>
      <c r="C24" s="415">
        <v>7000</v>
      </c>
      <c r="D24" s="414">
        <v>1</v>
      </c>
      <c r="E24" s="415" cm="1">
        <f t="array" ref="E24">B24*C24*D24</f>
        <v>14000</v>
      </c>
      <c r="F24" s="416"/>
      <c r="G24" s="417" cm="1">
        <f t="array" ref="G24">E24+F24</f>
        <v>14000</v>
      </c>
    </row>
    <row r="25" ht="24.7" customHeight="1">
      <c r="A25" t="s" s="16">
        <v>45</v>
      </c>
      <c r="B25" s="17">
        <v>3</v>
      </c>
      <c r="C25" s="18">
        <v>5000</v>
      </c>
      <c r="D25" s="17">
        <v>1</v>
      </c>
      <c r="E25" s="18" cm="1">
        <f t="array" ref="E25">B25*C25*D25</f>
        <v>15000</v>
      </c>
      <c r="F25" s="19"/>
      <c r="G25" s="20" cm="1">
        <f t="array" ref="G25">E25+F25</f>
        <v>15000</v>
      </c>
    </row>
    <row r="26" ht="24.7" customHeight="1">
      <c r="A26" t="s" s="21">
        <v>46</v>
      </c>
      <c r="B26" s="22">
        <v>1</v>
      </c>
      <c r="C26" s="23">
        <v>12100</v>
      </c>
      <c r="D26" s="22">
        <v>1</v>
      </c>
      <c r="E26" s="23" cm="1">
        <f t="array" ref="E26">C26*B26</f>
        <v>12100</v>
      </c>
      <c r="F26" s="24"/>
      <c r="G26" s="25" cm="1">
        <f t="array" ref="G26">E26+F26</f>
        <v>12100</v>
      </c>
    </row>
    <row r="27" ht="24.7" customHeight="1">
      <c r="A27" s="26"/>
      <c r="B27" s="27"/>
      <c r="C27" s="28"/>
      <c r="D27" s="27"/>
      <c r="E27" s="28"/>
      <c r="F27" s="29"/>
      <c r="G27" s="30"/>
    </row>
    <row r="28" ht="56.75" customHeight="1">
      <c r="A28" t="s" s="11">
        <v>162</v>
      </c>
      <c r="B28" s="12"/>
      <c r="C28" s="13"/>
      <c r="D28" s="12"/>
      <c r="E28" s="13"/>
      <c r="F28" s="14"/>
      <c r="G28" s="15" cm="1">
        <f t="array" ref="G28">SUM(G29:G38)</f>
        <v>141750</v>
      </c>
    </row>
    <row r="29" ht="32.5" customHeight="1">
      <c r="A29" t="s" s="85">
        <v>163</v>
      </c>
      <c r="B29" s="17">
        <v>30</v>
      </c>
      <c r="C29" s="18">
        <v>1350</v>
      </c>
      <c r="D29" s="17">
        <v>1</v>
      </c>
      <c r="E29" s="18" cm="1">
        <f t="array" ref="E29">B29*C29*D29</f>
        <v>40500</v>
      </c>
      <c r="F29" s="19" cm="1">
        <f t="array" ref="F29">E29*0.1</f>
        <v>4050</v>
      </c>
      <c r="G29" s="20" cm="1">
        <f t="array" ref="G29">E29+F29</f>
        <v>44550</v>
      </c>
    </row>
    <row r="30" ht="32.5" customHeight="1">
      <c r="A30" t="s" s="16">
        <v>164</v>
      </c>
      <c r="B30" s="17">
        <v>30</v>
      </c>
      <c r="C30" s="18">
        <v>550</v>
      </c>
      <c r="D30" s="17">
        <v>1</v>
      </c>
      <c r="E30" s="18" cm="1">
        <f t="array" ref="E30">B30*C30*D30</f>
        <v>16500</v>
      </c>
      <c r="F30" s="19" cm="1">
        <f t="array" ref="F30">E30*0.1</f>
        <v>1650</v>
      </c>
      <c r="G30" s="20" cm="1">
        <f t="array" ref="G30">E30+F30</f>
        <v>18150</v>
      </c>
    </row>
    <row r="31" ht="32.5" customHeight="1">
      <c r="A31" t="s" s="418">
        <v>43</v>
      </c>
      <c r="B31" s="399">
        <v>30</v>
      </c>
      <c r="C31" s="400">
        <v>220</v>
      </c>
      <c r="D31" s="399">
        <v>1</v>
      </c>
      <c r="E31" s="400" cm="1">
        <f t="array" ref="E31">B31*C31*D31</f>
        <v>6600</v>
      </c>
      <c r="F31" s="401" cm="1">
        <f t="array" ref="F31">E31*0.1</f>
        <v>660</v>
      </c>
      <c r="G31" s="402" cm="1">
        <f t="array" ref="G31">E31+F31</f>
        <v>7260</v>
      </c>
    </row>
    <row r="32" ht="22.8" customHeight="1">
      <c r="A32" t="s" s="403">
        <v>160</v>
      </c>
      <c r="B32" s="404"/>
      <c r="C32" s="405"/>
      <c r="D32" s="404"/>
      <c r="E32" s="405"/>
      <c r="F32" s="406"/>
      <c r="G32" s="407"/>
    </row>
    <row r="33" ht="39.55" customHeight="1">
      <c r="A33" t="s" s="408">
        <v>98</v>
      </c>
      <c r="B33" s="409">
        <v>2</v>
      </c>
      <c r="C33" s="410">
        <v>7750</v>
      </c>
      <c r="D33" s="409">
        <v>1</v>
      </c>
      <c r="E33" s="410" cm="1">
        <f t="array" ref="E33">B33*C33*D33</f>
        <v>15500</v>
      </c>
      <c r="F33" s="411" cm="1">
        <f t="array" ref="F33">E33*0.1</f>
        <v>1550</v>
      </c>
      <c r="G33" s="412" cm="1">
        <f t="array" ref="G33">E33+F33</f>
        <v>17050</v>
      </c>
    </row>
    <row r="34" ht="31.2" customHeight="1">
      <c r="A34" t="s" s="408">
        <v>99</v>
      </c>
      <c r="B34" s="409">
        <v>2</v>
      </c>
      <c r="C34" s="410">
        <v>3100</v>
      </c>
      <c r="D34" s="409">
        <v>1</v>
      </c>
      <c r="E34" s="410" cm="1">
        <f t="array" ref="E34">B34*C34*D34</f>
        <v>6200</v>
      </c>
      <c r="F34" s="411" cm="1">
        <f t="array" ref="F34">E34*0.1</f>
        <v>620</v>
      </c>
      <c r="G34" s="412" cm="1">
        <f t="array" ref="G34">E34+F34</f>
        <v>6820</v>
      </c>
    </row>
    <row r="35" ht="24.7" customHeight="1">
      <c r="A35" t="s" s="408">
        <v>100</v>
      </c>
      <c r="B35" s="409">
        <v>2</v>
      </c>
      <c r="C35" s="410">
        <v>3100</v>
      </c>
      <c r="D35" s="409">
        <v>1</v>
      </c>
      <c r="E35" s="410" cm="1">
        <f t="array" ref="E35">B35*C35*D35</f>
        <v>6200</v>
      </c>
      <c r="F35" s="411" cm="1">
        <f t="array" ref="F35">E35*0.1</f>
        <v>620</v>
      </c>
      <c r="G35" s="412" cm="1">
        <f t="array" ref="G35">E35+F35</f>
        <v>6820</v>
      </c>
    </row>
    <row r="36" ht="24.7" customHeight="1">
      <c r="A36" t="s" s="413">
        <v>44</v>
      </c>
      <c r="B36" s="414">
        <v>2</v>
      </c>
      <c r="C36" s="415">
        <v>7000</v>
      </c>
      <c r="D36" s="414">
        <v>1</v>
      </c>
      <c r="E36" s="415" cm="1">
        <f t="array" ref="E36">B36*C36*D36</f>
        <v>14000</v>
      </c>
      <c r="F36" s="416"/>
      <c r="G36" s="417" cm="1">
        <f t="array" ref="G36">E36+F36</f>
        <v>14000</v>
      </c>
    </row>
    <row r="37" ht="24.7" customHeight="1">
      <c r="A37" t="s" s="16">
        <v>45</v>
      </c>
      <c r="B37" s="17">
        <v>3</v>
      </c>
      <c r="C37" s="18">
        <v>5000</v>
      </c>
      <c r="D37" s="17">
        <v>1</v>
      </c>
      <c r="E37" s="18" cm="1">
        <f t="array" ref="E37">B37*C37*D37</f>
        <v>15000</v>
      </c>
      <c r="F37" s="19"/>
      <c r="G37" s="20" cm="1">
        <f t="array" ref="G37">E37+F37</f>
        <v>15000</v>
      </c>
    </row>
    <row r="38" ht="24.7" customHeight="1">
      <c r="A38" t="s" s="21">
        <v>46</v>
      </c>
      <c r="B38" s="22">
        <v>1</v>
      </c>
      <c r="C38" s="23">
        <v>12100</v>
      </c>
      <c r="D38" s="22">
        <v>1</v>
      </c>
      <c r="E38" s="23" cm="1">
        <f t="array" ref="E38">C38*B38</f>
        <v>12100</v>
      </c>
      <c r="F38" s="24"/>
      <c r="G38" s="25" cm="1">
        <f t="array" ref="G38">E38+F38</f>
        <v>12100</v>
      </c>
    </row>
    <row r="39" ht="24.7" customHeight="1">
      <c r="A39" s="26"/>
      <c r="B39" s="27"/>
      <c r="C39" s="28"/>
      <c r="D39" s="27"/>
      <c r="E39" s="28"/>
      <c r="F39" s="29"/>
      <c r="G39" s="30"/>
    </row>
    <row r="40" ht="69.2" customHeight="1">
      <c r="A40" t="s" s="11">
        <v>165</v>
      </c>
      <c r="B40" s="12"/>
      <c r="C40" s="13"/>
      <c r="D40" s="12"/>
      <c r="E40" s="13"/>
      <c r="F40" s="14"/>
      <c r="G40" s="15" cm="1">
        <f t="array" ref="G40">SUM(G41:G51)</f>
        <v>148060</v>
      </c>
    </row>
    <row r="41" ht="36.35" customHeight="1">
      <c r="A41" t="s" s="85">
        <v>166</v>
      </c>
      <c r="B41" s="17">
        <v>30</v>
      </c>
      <c r="C41" s="18">
        <v>1550</v>
      </c>
      <c r="D41" s="17">
        <v>1</v>
      </c>
      <c r="E41" s="18" cm="1">
        <f t="array" ref="E41">B41*C41*D41</f>
        <v>46500</v>
      </c>
      <c r="F41" s="19" cm="1">
        <f t="array" ref="F41">E41*0.1</f>
        <v>4650</v>
      </c>
      <c r="G41" s="20" cm="1">
        <f t="array" ref="G41">E41+F41</f>
        <v>51150</v>
      </c>
    </row>
    <row r="42" ht="36.35" customHeight="1">
      <c r="A42" t="s" s="16">
        <v>167</v>
      </c>
      <c r="B42" s="17">
        <v>30</v>
      </c>
      <c r="C42" s="18">
        <v>300</v>
      </c>
      <c r="D42" s="17">
        <v>1</v>
      </c>
      <c r="E42" s="18" cm="1">
        <f t="array" ref="E42">B42*C42*D42</f>
        <v>9000</v>
      </c>
      <c r="F42" s="19" cm="1">
        <f t="array" ref="F42">E42*0.1</f>
        <v>900</v>
      </c>
      <c r="G42" s="20" cm="1">
        <f t="array" ref="G42">E42+F42</f>
        <v>9900</v>
      </c>
    </row>
    <row r="43" ht="36.35" customHeight="1">
      <c r="A43" t="s" s="16">
        <v>168</v>
      </c>
      <c r="B43" s="17">
        <v>30</v>
      </c>
      <c r="C43" s="18">
        <v>160</v>
      </c>
      <c r="D43" s="17">
        <v>1</v>
      </c>
      <c r="E43" s="18" cm="1">
        <f t="array" ref="E43">B43*C43*D43</f>
        <v>4800</v>
      </c>
      <c r="F43" s="19" cm="1">
        <f t="array" ref="F43">E43*0.1</f>
        <v>480</v>
      </c>
      <c r="G43" s="20" cm="1">
        <f t="array" ref="G43">E43+F43</f>
        <v>5280</v>
      </c>
    </row>
    <row r="44" ht="36.35" customHeight="1">
      <c r="A44" t="s" s="418">
        <v>43</v>
      </c>
      <c r="B44" s="399">
        <v>30</v>
      </c>
      <c r="C44" s="400">
        <v>160</v>
      </c>
      <c r="D44" s="399">
        <v>1</v>
      </c>
      <c r="E44" s="400" cm="1">
        <f t="array" ref="E44">B44*C44*D44</f>
        <v>4800</v>
      </c>
      <c r="F44" s="401" cm="1">
        <f t="array" ref="F44">E44*0.1</f>
        <v>480</v>
      </c>
      <c r="G44" s="402" cm="1">
        <f t="array" ref="G44">E44+F44</f>
        <v>5280</v>
      </c>
    </row>
    <row r="45" ht="22.4" customHeight="1">
      <c r="A45" t="s" s="403">
        <v>169</v>
      </c>
      <c r="B45" s="404"/>
      <c r="C45" s="405"/>
      <c r="D45" s="404"/>
      <c r="E45" s="405"/>
      <c r="F45" s="406"/>
      <c r="G45" s="407"/>
    </row>
    <row r="46" ht="39.95" customHeight="1">
      <c r="A46" t="s" s="408">
        <v>98</v>
      </c>
      <c r="B46" s="409">
        <v>2</v>
      </c>
      <c r="C46" s="410">
        <v>7750</v>
      </c>
      <c r="D46" s="409">
        <v>1</v>
      </c>
      <c r="E46" s="410" cm="1">
        <f t="array" ref="E46">B46*C46*D46</f>
        <v>15500</v>
      </c>
      <c r="F46" s="411" cm="1">
        <f t="array" ref="F46">E46*0.1</f>
        <v>1550</v>
      </c>
      <c r="G46" s="412" cm="1">
        <f t="array" ref="G46">E46+F46</f>
        <v>17050</v>
      </c>
    </row>
    <row r="47" ht="25.2" customHeight="1">
      <c r="A47" t="s" s="408">
        <v>99</v>
      </c>
      <c r="B47" s="409">
        <v>2</v>
      </c>
      <c r="C47" s="410">
        <v>2800</v>
      </c>
      <c r="D47" s="409">
        <v>1</v>
      </c>
      <c r="E47" s="410" cm="1">
        <f t="array" ref="E47">B47*C47*D47</f>
        <v>5600</v>
      </c>
      <c r="F47" s="411" cm="1">
        <f t="array" ref="F47">E47*0.1</f>
        <v>560</v>
      </c>
      <c r="G47" s="412" cm="1">
        <f t="array" ref="G47">E47+F47</f>
        <v>6160</v>
      </c>
    </row>
    <row r="48" ht="24.7" customHeight="1">
      <c r="A48" t="s" s="408">
        <v>100</v>
      </c>
      <c r="B48" s="409">
        <v>2</v>
      </c>
      <c r="C48" s="410">
        <v>3700</v>
      </c>
      <c r="D48" s="409">
        <v>1</v>
      </c>
      <c r="E48" s="410" cm="1">
        <f t="array" ref="E48">B48*C48*D48</f>
        <v>7400</v>
      </c>
      <c r="F48" s="411" cm="1">
        <f t="array" ref="F48">E48*0.1</f>
        <v>740</v>
      </c>
      <c r="G48" s="412" cm="1">
        <f t="array" ref="G48">E48+F48</f>
        <v>8140</v>
      </c>
    </row>
    <row r="49" ht="24.7" customHeight="1">
      <c r="A49" t="s" s="413">
        <v>44</v>
      </c>
      <c r="B49" s="414">
        <v>2</v>
      </c>
      <c r="C49" s="415">
        <v>7000</v>
      </c>
      <c r="D49" s="414">
        <v>1</v>
      </c>
      <c r="E49" s="415" cm="1">
        <f t="array" ref="E49">B49*C49*D49</f>
        <v>14000</v>
      </c>
      <c r="F49" s="416"/>
      <c r="G49" s="417" cm="1">
        <f t="array" ref="G49">E49+F49</f>
        <v>14000</v>
      </c>
    </row>
    <row r="50" ht="24.7" customHeight="1">
      <c r="A50" t="s" s="16">
        <v>45</v>
      </c>
      <c r="B50" s="17">
        <v>3</v>
      </c>
      <c r="C50" s="18">
        <v>5000</v>
      </c>
      <c r="D50" s="17">
        <v>1</v>
      </c>
      <c r="E50" s="18" cm="1">
        <f t="array" ref="E50">B50*C50*D50</f>
        <v>15000</v>
      </c>
      <c r="F50" s="19"/>
      <c r="G50" s="20" cm="1">
        <f t="array" ref="G50">E50+F50</f>
        <v>15000</v>
      </c>
    </row>
    <row r="51" ht="24.7" customHeight="1">
      <c r="A51" t="s" s="21">
        <v>46</v>
      </c>
      <c r="B51" s="22">
        <v>1</v>
      </c>
      <c r="C51" s="23">
        <v>16100</v>
      </c>
      <c r="D51" s="22">
        <v>1</v>
      </c>
      <c r="E51" s="23" cm="1">
        <f t="array" ref="E51">C51*B51</f>
        <v>16100</v>
      </c>
      <c r="F51" s="24"/>
      <c r="G51" s="25" cm="1">
        <f t="array" ref="G51">E51+F51</f>
        <v>16100</v>
      </c>
    </row>
    <row r="52" ht="24.7" customHeight="1">
      <c r="A52" s="26"/>
      <c r="B52" s="27"/>
      <c r="C52" s="28"/>
      <c r="D52" s="27"/>
      <c r="E52" s="28"/>
      <c r="F52" s="29"/>
      <c r="G52" s="30"/>
    </row>
    <row r="53" ht="70.9" customHeight="1">
      <c r="A53" t="s" s="11">
        <v>170</v>
      </c>
      <c r="B53" s="12"/>
      <c r="C53" s="13"/>
      <c r="D53" s="12"/>
      <c r="E53" s="13"/>
      <c r="F53" s="14"/>
      <c r="G53" s="15" cm="1">
        <f t="array" ref="G53">SUM(G54:G67)</f>
        <v>172880</v>
      </c>
    </row>
    <row r="54" ht="38.35" customHeight="1">
      <c r="A54" t="s" s="85">
        <v>166</v>
      </c>
      <c r="B54" s="17">
        <v>30</v>
      </c>
      <c r="C54" s="18">
        <v>1550</v>
      </c>
      <c r="D54" s="17">
        <v>1</v>
      </c>
      <c r="E54" s="18" cm="1">
        <f t="array" ref="E54">B54*C54*D54</f>
        <v>46500</v>
      </c>
      <c r="F54" s="19" cm="1">
        <f t="array" ref="F54">E54*0.1</f>
        <v>4650</v>
      </c>
      <c r="G54" s="20" cm="1">
        <f t="array" ref="G54">E54+F54</f>
        <v>51150</v>
      </c>
    </row>
    <row r="55" ht="24.7" customHeight="1">
      <c r="A55" t="s" s="16">
        <v>167</v>
      </c>
      <c r="B55" s="17">
        <v>30</v>
      </c>
      <c r="C55" s="18">
        <v>300</v>
      </c>
      <c r="D55" s="17">
        <v>1</v>
      </c>
      <c r="E55" s="18" cm="1">
        <f t="array" ref="E55">B55*C55*D55</f>
        <v>9000</v>
      </c>
      <c r="F55" s="19" cm="1">
        <f t="array" ref="F55">E55*0.1</f>
        <v>900</v>
      </c>
      <c r="G55" s="20" cm="1">
        <f t="array" ref="G55">E55+F55</f>
        <v>9900</v>
      </c>
    </row>
    <row r="56" ht="24.7" customHeight="1">
      <c r="A56" t="s" s="16">
        <v>168</v>
      </c>
      <c r="B56" s="17">
        <v>30</v>
      </c>
      <c r="C56" s="18">
        <v>160</v>
      </c>
      <c r="D56" s="17">
        <v>1</v>
      </c>
      <c r="E56" s="18" cm="1">
        <f t="array" ref="E56">B56*C56*D56</f>
        <v>4800</v>
      </c>
      <c r="F56" s="19" cm="1">
        <f t="array" ref="F56">E56*0.1</f>
        <v>480</v>
      </c>
      <c r="G56" s="20" cm="1">
        <f t="array" ref="G56">E56+F56</f>
        <v>5280</v>
      </c>
    </row>
    <row r="57" ht="24.7" customHeight="1">
      <c r="A57" t="s" s="418">
        <v>43</v>
      </c>
      <c r="B57" s="399">
        <v>30</v>
      </c>
      <c r="C57" s="400">
        <v>160</v>
      </c>
      <c r="D57" s="399">
        <v>1</v>
      </c>
      <c r="E57" s="400" cm="1">
        <f t="array" ref="E57">B57*C57*D57</f>
        <v>4800</v>
      </c>
      <c r="F57" s="401" cm="1">
        <f t="array" ref="F57">E57*0.1</f>
        <v>480</v>
      </c>
      <c r="G57" s="402" cm="1">
        <f t="array" ref="G57">E57+F57</f>
        <v>5280</v>
      </c>
    </row>
    <row r="58" ht="22.05" customHeight="1">
      <c r="A58" t="s" s="403">
        <v>160</v>
      </c>
      <c r="B58" s="404"/>
      <c r="C58" s="405"/>
      <c r="D58" s="404"/>
      <c r="E58" s="405"/>
      <c r="F58" s="406"/>
      <c r="G58" s="407"/>
    </row>
    <row r="59" ht="35.45" customHeight="1">
      <c r="A59" t="s" s="408">
        <v>98</v>
      </c>
      <c r="B59" s="409">
        <v>2</v>
      </c>
      <c r="C59" s="410">
        <v>7750</v>
      </c>
      <c r="D59" s="409">
        <v>1</v>
      </c>
      <c r="E59" s="410" cm="1">
        <f t="array" ref="E59">B59*C59*D59</f>
        <v>15500</v>
      </c>
      <c r="F59" s="411" cm="1">
        <f t="array" ref="F59">E59*0.1</f>
        <v>1550</v>
      </c>
      <c r="G59" s="412" cm="1">
        <f t="array" ref="G59">E59+F59</f>
        <v>17050</v>
      </c>
    </row>
    <row r="60" ht="24.7" customHeight="1">
      <c r="A60" t="s" s="408">
        <v>99</v>
      </c>
      <c r="B60" s="409">
        <v>2</v>
      </c>
      <c r="C60" s="410">
        <v>2800</v>
      </c>
      <c r="D60" s="409">
        <v>1</v>
      </c>
      <c r="E60" s="410" cm="1">
        <f t="array" ref="E60">B60*C60*D60</f>
        <v>5600</v>
      </c>
      <c r="F60" s="411" cm="1">
        <f t="array" ref="F60">E60*0.1</f>
        <v>560</v>
      </c>
      <c r="G60" s="412" cm="1">
        <f t="array" ref="G60">E60+F60</f>
        <v>6160</v>
      </c>
    </row>
    <row r="61" ht="24.7" customHeight="1">
      <c r="A61" t="s" s="408">
        <v>171</v>
      </c>
      <c r="B61" s="409">
        <v>2</v>
      </c>
      <c r="C61" s="410">
        <v>4100</v>
      </c>
      <c r="D61" s="409">
        <v>1</v>
      </c>
      <c r="E61" s="410" cm="1">
        <f t="array" ref="E61">B61*C61*D61</f>
        <v>8200</v>
      </c>
      <c r="F61" s="411" cm="1">
        <f t="array" ref="F61">E61*0.1</f>
        <v>820</v>
      </c>
      <c r="G61" s="412" cm="1">
        <f t="array" ref="G61">E61+F61</f>
        <v>9020</v>
      </c>
    </row>
    <row r="62" ht="24.7" customHeight="1">
      <c r="A62" t="s" s="403">
        <v>169</v>
      </c>
      <c r="B62" s="404"/>
      <c r="C62" s="405"/>
      <c r="D62" s="404"/>
      <c r="E62" s="405"/>
      <c r="F62" s="406"/>
      <c r="G62" s="407"/>
    </row>
    <row r="63" ht="24.7" customHeight="1">
      <c r="A63" t="s" s="408">
        <v>172</v>
      </c>
      <c r="B63" s="409">
        <v>2</v>
      </c>
      <c r="C63" s="410">
        <v>4100</v>
      </c>
      <c r="D63" s="409">
        <v>1</v>
      </c>
      <c r="E63" s="410" cm="1">
        <f t="array" ref="E63">B63*C63*D63</f>
        <v>8200</v>
      </c>
      <c r="F63" s="411" cm="1">
        <f t="array" ref="F63">E63*0.1</f>
        <v>820</v>
      </c>
      <c r="G63" s="412" cm="1">
        <f t="array" ref="G63">E63+F63</f>
        <v>9020</v>
      </c>
    </row>
    <row r="64" ht="24.7" customHeight="1">
      <c r="A64" t="s" s="408">
        <v>171</v>
      </c>
      <c r="B64" s="409">
        <v>2</v>
      </c>
      <c r="C64" s="410">
        <v>4100</v>
      </c>
      <c r="D64" s="409">
        <v>1</v>
      </c>
      <c r="E64" s="410" cm="1">
        <f t="array" ref="E64">B64*C64*D64</f>
        <v>8200</v>
      </c>
      <c r="F64" s="411" cm="1">
        <f t="array" ref="F64">E64*0.1</f>
        <v>820</v>
      </c>
      <c r="G64" s="412" cm="1">
        <f t="array" ref="G64">E64+F64</f>
        <v>9020</v>
      </c>
    </row>
    <row r="65" ht="24.7" customHeight="1">
      <c r="A65" t="s" s="413">
        <v>44</v>
      </c>
      <c r="B65" s="414">
        <v>2</v>
      </c>
      <c r="C65" s="415">
        <v>7000</v>
      </c>
      <c r="D65" s="414">
        <v>1</v>
      </c>
      <c r="E65" s="415" cm="1">
        <f t="array" ref="E65">B65*C65*D65</f>
        <v>14000</v>
      </c>
      <c r="F65" s="416"/>
      <c r="G65" s="417" cm="1">
        <f t="array" ref="G65">E65+F65</f>
        <v>14000</v>
      </c>
    </row>
    <row r="66" ht="24.7" customHeight="1">
      <c r="A66" t="s" s="16">
        <v>45</v>
      </c>
      <c r="B66" s="17">
        <v>3</v>
      </c>
      <c r="C66" s="18">
        <v>5000</v>
      </c>
      <c r="D66" s="17">
        <v>1</v>
      </c>
      <c r="E66" s="18" cm="1">
        <f t="array" ref="E66">B66*C66*D66</f>
        <v>15000</v>
      </c>
      <c r="F66" s="19"/>
      <c r="G66" s="20" cm="1">
        <f t="array" ref="G66">E66+F66</f>
        <v>15000</v>
      </c>
    </row>
    <row r="67" ht="24.7" customHeight="1">
      <c r="A67" t="s" s="21">
        <v>46</v>
      </c>
      <c r="B67" s="22">
        <v>1</v>
      </c>
      <c r="C67" s="23">
        <v>22000</v>
      </c>
      <c r="D67" s="22">
        <v>1</v>
      </c>
      <c r="E67" s="23" cm="1">
        <f t="array" ref="E67">C67*B67</f>
        <v>22000</v>
      </c>
      <c r="F67" s="24"/>
      <c r="G67" s="25" cm="1">
        <f t="array" ref="G67">E67+F67</f>
        <v>22000</v>
      </c>
    </row>
    <row r="68" ht="24.7" customHeight="1">
      <c r="A68" s="26"/>
      <c r="B68" s="27"/>
      <c r="C68" s="28"/>
      <c r="D68" s="27"/>
      <c r="E68" s="28"/>
      <c r="F68" s="29"/>
      <c r="G68" s="30"/>
    </row>
    <row r="69" ht="73.15" customHeight="1">
      <c r="A69" t="s" s="11">
        <v>173</v>
      </c>
      <c r="B69" s="12"/>
      <c r="C69" s="13"/>
      <c r="D69" s="12"/>
      <c r="E69" s="13"/>
      <c r="F69" s="14"/>
      <c r="G69" s="15" cm="1">
        <f t="array" ref="G69">SUM(G70:G83)</f>
        <v>255760</v>
      </c>
    </row>
    <row r="70" ht="42.35" customHeight="1">
      <c r="A70" t="s" s="85">
        <v>163</v>
      </c>
      <c r="B70" s="17">
        <v>40</v>
      </c>
      <c r="C70" s="18">
        <v>1650</v>
      </c>
      <c r="D70" s="17">
        <v>1</v>
      </c>
      <c r="E70" s="18" cm="1">
        <f t="array" ref="E70">B70*C70*D70</f>
        <v>66000</v>
      </c>
      <c r="F70" s="19" cm="1">
        <f t="array" ref="F70">E70*0.1</f>
        <v>6600</v>
      </c>
      <c r="G70" s="20" cm="1">
        <f t="array" ref="G70">E70+F70</f>
        <v>72600</v>
      </c>
    </row>
    <row r="71" ht="24.7" customHeight="1">
      <c r="A71" t="s" s="16">
        <v>164</v>
      </c>
      <c r="B71" s="17">
        <v>40</v>
      </c>
      <c r="C71" s="18">
        <v>610</v>
      </c>
      <c r="D71" s="17">
        <v>1</v>
      </c>
      <c r="E71" s="18" cm="1">
        <f t="array" ref="E71">B71*C71*D71</f>
        <v>24400</v>
      </c>
      <c r="F71" s="19" cm="1">
        <f t="array" ref="F71">E71*0.1</f>
        <v>2440</v>
      </c>
      <c r="G71" s="20" cm="1">
        <f t="array" ref="G71">E71+F71</f>
        <v>26840</v>
      </c>
    </row>
    <row r="72" ht="24.7" customHeight="1">
      <c r="A72" t="s" s="418">
        <v>43</v>
      </c>
      <c r="B72" s="399">
        <v>40</v>
      </c>
      <c r="C72" s="400">
        <v>120</v>
      </c>
      <c r="D72" s="399">
        <v>1</v>
      </c>
      <c r="E72" s="400" cm="1">
        <f t="array" ref="E72">B72*C72*D72</f>
        <v>4800</v>
      </c>
      <c r="F72" s="401" cm="1">
        <f t="array" ref="F72">E72*0.1</f>
        <v>480</v>
      </c>
      <c r="G72" s="402" cm="1">
        <f t="array" ref="G72">E72+F72</f>
        <v>5280</v>
      </c>
    </row>
    <row r="73" ht="33.5" customHeight="1">
      <c r="A73" t="s" s="403">
        <v>160</v>
      </c>
      <c r="B73" s="404"/>
      <c r="C73" s="405"/>
      <c r="D73" s="404"/>
      <c r="E73" s="405"/>
      <c r="F73" s="406"/>
      <c r="G73" s="407"/>
    </row>
    <row r="74" ht="33.5" customHeight="1">
      <c r="A74" t="s" s="408">
        <v>98</v>
      </c>
      <c r="B74" s="409">
        <v>2</v>
      </c>
      <c r="C74" s="410">
        <v>7300</v>
      </c>
      <c r="D74" s="409">
        <v>1</v>
      </c>
      <c r="E74" s="410" cm="1">
        <f t="array" ref="E74">B74*C74*D74</f>
        <v>14600</v>
      </c>
      <c r="F74" s="411" cm="1">
        <f t="array" ref="F74">E74*0.1</f>
        <v>1460</v>
      </c>
      <c r="G74" s="412" cm="1">
        <f t="array" ref="G74">E74+F74</f>
        <v>16060</v>
      </c>
    </row>
    <row r="75" ht="24.7" customHeight="1">
      <c r="A75" t="s" s="408">
        <v>99</v>
      </c>
      <c r="B75" s="409">
        <v>2</v>
      </c>
      <c r="C75" s="410">
        <v>2500</v>
      </c>
      <c r="D75" s="409">
        <v>1</v>
      </c>
      <c r="E75" s="410" cm="1">
        <f t="array" ref="E75">B75*C75*D75</f>
        <v>5000</v>
      </c>
      <c r="F75" s="411" cm="1">
        <f t="array" ref="F75">E75*0.1</f>
        <v>500</v>
      </c>
      <c r="G75" s="412" cm="1">
        <f t="array" ref="G75">E75+F75</f>
        <v>5500</v>
      </c>
    </row>
    <row r="76" ht="24.7" customHeight="1">
      <c r="A76" t="s" s="408">
        <v>100</v>
      </c>
      <c r="B76" s="409">
        <v>2</v>
      </c>
      <c r="C76" s="410">
        <v>3700</v>
      </c>
      <c r="D76" s="409">
        <v>1</v>
      </c>
      <c r="E76" s="410" cm="1">
        <f t="array" ref="E76">B76*C76*D76</f>
        <v>7400</v>
      </c>
      <c r="F76" s="411" cm="1">
        <f t="array" ref="F76">E76*0.1</f>
        <v>740</v>
      </c>
      <c r="G76" s="412" cm="1">
        <f t="array" ref="G76">E76+F76</f>
        <v>8140</v>
      </c>
    </row>
    <row r="77" ht="24.7" customHeight="1">
      <c r="A77" t="s" s="403">
        <v>169</v>
      </c>
      <c r="B77" s="404"/>
      <c r="C77" s="405"/>
      <c r="D77" s="404"/>
      <c r="E77" s="405"/>
      <c r="F77" s="406"/>
      <c r="G77" s="407"/>
    </row>
    <row r="78" ht="37.8" customHeight="1">
      <c r="A78" t="s" s="408">
        <v>98</v>
      </c>
      <c r="B78" s="409">
        <v>2</v>
      </c>
      <c r="C78" s="410">
        <v>7300</v>
      </c>
      <c r="D78" s="409"/>
      <c r="E78" s="410" cm="1">
        <f t="array" ref="E78">B78*C78*D78</f>
        <v>0</v>
      </c>
      <c r="F78" s="411" cm="1">
        <f t="array" ref="F78">E78*0.1</f>
        <v>0</v>
      </c>
      <c r="G78" s="412" cm="1">
        <f t="array" ref="G78">E78+F78</f>
        <v>0</v>
      </c>
    </row>
    <row r="79" ht="24.7" customHeight="1">
      <c r="A79" t="s" s="408">
        <v>99</v>
      </c>
      <c r="B79" s="409">
        <v>2</v>
      </c>
      <c r="C79" s="410">
        <v>2500</v>
      </c>
      <c r="D79" s="409">
        <v>1</v>
      </c>
      <c r="E79" s="410" cm="1">
        <f t="array" ref="E79">B79*C79*D79</f>
        <v>5000</v>
      </c>
      <c r="F79" s="411" cm="1">
        <f t="array" ref="F79">E79*0.1</f>
        <v>500</v>
      </c>
      <c r="G79" s="412" cm="1">
        <f t="array" ref="G79">E79+F79</f>
        <v>5500</v>
      </c>
    </row>
    <row r="80" ht="24.7" customHeight="1">
      <c r="A80" t="s" s="408">
        <v>100</v>
      </c>
      <c r="B80" s="409">
        <v>2</v>
      </c>
      <c r="C80" s="410">
        <v>3700</v>
      </c>
      <c r="D80" s="409">
        <v>1</v>
      </c>
      <c r="E80" s="410" cm="1">
        <f t="array" ref="E80">B80*C80*D80</f>
        <v>7400</v>
      </c>
      <c r="F80" s="411" cm="1">
        <f t="array" ref="F80">E80*0.1</f>
        <v>740</v>
      </c>
      <c r="G80" s="412" cm="1">
        <f t="array" ref="G80">E80+F80</f>
        <v>8140</v>
      </c>
    </row>
    <row r="81" ht="24.7" customHeight="1">
      <c r="A81" t="s" s="413">
        <v>44</v>
      </c>
      <c r="B81" s="414">
        <v>2</v>
      </c>
      <c r="C81" s="415">
        <v>7000</v>
      </c>
      <c r="D81" s="414">
        <v>1</v>
      </c>
      <c r="E81" s="415" cm="1">
        <f t="array" ref="E81">B81*C81*D81</f>
        <v>14000</v>
      </c>
      <c r="F81" s="416"/>
      <c r="G81" s="417" cm="1">
        <f t="array" ref="G81">E81+F81</f>
        <v>14000</v>
      </c>
    </row>
    <row r="82" ht="24.7" customHeight="1">
      <c r="A82" t="s" s="16">
        <v>45</v>
      </c>
      <c r="B82" s="17">
        <v>4</v>
      </c>
      <c r="C82" s="18">
        <v>5000</v>
      </c>
      <c r="D82" s="17">
        <v>1</v>
      </c>
      <c r="E82" s="18" cm="1">
        <f t="array" ref="E82">B82*C82*D82</f>
        <v>20000</v>
      </c>
      <c r="F82" s="19"/>
      <c r="G82" s="20" cm="1">
        <f t="array" ref="G82">E82+F82</f>
        <v>20000</v>
      </c>
    </row>
    <row r="83" ht="24.7" customHeight="1">
      <c r="A83" t="s" s="21">
        <v>46</v>
      </c>
      <c r="B83" s="22">
        <v>1</v>
      </c>
      <c r="C83" s="23">
        <v>67000</v>
      </c>
      <c r="D83" s="22">
        <v>1</v>
      </c>
      <c r="E83" s="23" cm="1">
        <f t="array" ref="E83">C83*B83</f>
        <v>67000</v>
      </c>
      <c r="F83" s="24" cm="1">
        <f t="array" ref="F83">E83*0.1</f>
        <v>6700</v>
      </c>
      <c r="G83" s="25" cm="1">
        <f t="array" ref="G83">E83+F83</f>
        <v>73700</v>
      </c>
    </row>
    <row r="84" ht="24.5" customHeight="1">
      <c r="A84" s="26"/>
      <c r="B84" s="27"/>
      <c r="C84" s="28"/>
      <c r="D84" s="27"/>
      <c r="E84" s="28"/>
      <c r="F84" s="29"/>
      <c r="G84" s="30"/>
    </row>
    <row r="85" ht="77.65" customHeight="1">
      <c r="A85" t="s" s="11">
        <v>174</v>
      </c>
      <c r="B85" s="12"/>
      <c r="C85" s="13"/>
      <c r="D85" s="12"/>
      <c r="E85" s="13"/>
      <c r="F85" s="14"/>
      <c r="G85" s="15" cm="1">
        <f t="array" ref="G85">SUM(G86:G99)</f>
        <v>237995</v>
      </c>
    </row>
    <row r="86" ht="34.65" customHeight="1">
      <c r="A86" t="s" s="85">
        <v>163</v>
      </c>
      <c r="B86" s="17">
        <v>35</v>
      </c>
      <c r="C86" s="18">
        <v>1100</v>
      </c>
      <c r="D86" s="17">
        <v>1</v>
      </c>
      <c r="E86" s="18" cm="1">
        <f t="array" ref="E86">B86*C86*D86</f>
        <v>38500</v>
      </c>
      <c r="F86" s="19" cm="1">
        <f t="array" ref="F86">E86*0.1</f>
        <v>3850</v>
      </c>
      <c r="G86" s="20" cm="1">
        <f t="array" ref="G86">E86+F86</f>
        <v>42350</v>
      </c>
    </row>
    <row r="87" ht="24.45" customHeight="1">
      <c r="A87" t="s" s="16">
        <v>164</v>
      </c>
      <c r="B87" s="17">
        <v>35</v>
      </c>
      <c r="C87" s="18">
        <v>610</v>
      </c>
      <c r="D87" s="17">
        <v>1</v>
      </c>
      <c r="E87" s="18" cm="1">
        <f t="array" ref="E87">B87*C87*D87</f>
        <v>21350</v>
      </c>
      <c r="F87" s="19" cm="1">
        <f t="array" ref="F87">E87*0.1</f>
        <v>2135</v>
      </c>
      <c r="G87" s="20" cm="1">
        <f t="array" ref="G87">E87+F87</f>
        <v>23485</v>
      </c>
    </row>
    <row r="88" ht="24.45" customHeight="1">
      <c r="A88" t="s" s="418">
        <v>43</v>
      </c>
      <c r="B88" s="399">
        <v>35</v>
      </c>
      <c r="C88" s="400">
        <v>120</v>
      </c>
      <c r="D88" s="399">
        <v>1</v>
      </c>
      <c r="E88" s="400" cm="1">
        <f t="array" ref="E88">B88*C88*D88</f>
        <v>4200</v>
      </c>
      <c r="F88" s="401" cm="1">
        <f t="array" ref="F88">E88*0.1</f>
        <v>420</v>
      </c>
      <c r="G88" s="402" cm="1">
        <f t="array" ref="G88">E88+F88</f>
        <v>4620</v>
      </c>
    </row>
    <row r="89" ht="24.45" customHeight="1">
      <c r="A89" t="s" s="403">
        <v>160</v>
      </c>
      <c r="B89" s="404"/>
      <c r="C89" s="405"/>
      <c r="D89" s="404"/>
      <c r="E89" s="405"/>
      <c r="F89" s="406"/>
      <c r="G89" s="407"/>
    </row>
    <row r="90" ht="37.1" customHeight="1">
      <c r="A90" t="s" s="408">
        <v>98</v>
      </c>
      <c r="B90" s="409">
        <v>2</v>
      </c>
      <c r="C90" s="410">
        <v>8500</v>
      </c>
      <c r="D90" s="409">
        <v>1</v>
      </c>
      <c r="E90" s="410" cm="1">
        <f t="array" ref="E90">B90*C90*D90</f>
        <v>17000</v>
      </c>
      <c r="F90" s="411" cm="1">
        <f t="array" ref="F90">E90*0.1</f>
        <v>1700</v>
      </c>
      <c r="G90" s="412" cm="1">
        <f t="array" ref="G90">E90+F90</f>
        <v>18700</v>
      </c>
    </row>
    <row r="91" ht="24.45" customHeight="1">
      <c r="A91" t="s" s="408">
        <v>99</v>
      </c>
      <c r="B91" s="409">
        <v>2</v>
      </c>
      <c r="C91" s="410">
        <v>2500</v>
      </c>
      <c r="D91" s="409">
        <v>1</v>
      </c>
      <c r="E91" s="410" cm="1">
        <f t="array" ref="E91">B91*C91*D91</f>
        <v>5000</v>
      </c>
      <c r="F91" s="411" cm="1">
        <f t="array" ref="F91">E91*0.1</f>
        <v>500</v>
      </c>
      <c r="G91" s="412" cm="1">
        <f t="array" ref="G91">E91+F91</f>
        <v>5500</v>
      </c>
    </row>
    <row r="92" ht="24.45" customHeight="1">
      <c r="A92" t="s" s="408">
        <v>100</v>
      </c>
      <c r="B92" s="409">
        <v>2</v>
      </c>
      <c r="C92" s="410">
        <v>2600</v>
      </c>
      <c r="D92" s="409">
        <v>1</v>
      </c>
      <c r="E92" s="410" cm="1">
        <f t="array" ref="E92">B92*C92*D92</f>
        <v>5200</v>
      </c>
      <c r="F92" s="411" cm="1">
        <f t="array" ref="F92">E92*0.1</f>
        <v>520</v>
      </c>
      <c r="G92" s="412" cm="1">
        <f t="array" ref="G92">E92+F92</f>
        <v>5720</v>
      </c>
    </row>
    <row r="93" ht="24.45" customHeight="1">
      <c r="A93" t="s" s="403">
        <v>169</v>
      </c>
      <c r="B93" s="404"/>
      <c r="C93" s="405"/>
      <c r="D93" s="404"/>
      <c r="E93" s="405"/>
      <c r="F93" s="406"/>
      <c r="G93" s="407"/>
    </row>
    <row r="94" ht="40.4" customHeight="1">
      <c r="A94" t="s" s="408">
        <v>98</v>
      </c>
      <c r="B94" s="409">
        <v>2</v>
      </c>
      <c r="C94" s="410">
        <v>8500</v>
      </c>
      <c r="D94" s="409">
        <v>1</v>
      </c>
      <c r="E94" s="410" cm="1">
        <f t="array" ref="E94">B94*C94*D94</f>
        <v>17000</v>
      </c>
      <c r="F94" s="411" cm="1">
        <f t="array" ref="F94">E94*0.1</f>
        <v>1700</v>
      </c>
      <c r="G94" s="412" cm="1">
        <f t="array" ref="G94">E94+F94</f>
        <v>18700</v>
      </c>
    </row>
    <row r="95" ht="30.8" customHeight="1">
      <c r="A95" t="s" s="408">
        <v>99</v>
      </c>
      <c r="B95" s="409">
        <v>2</v>
      </c>
      <c r="C95" s="410">
        <v>2500</v>
      </c>
      <c r="D95" s="409">
        <v>1</v>
      </c>
      <c r="E95" s="410" cm="1">
        <f t="array" ref="E95">B95*C95*D95</f>
        <v>5000</v>
      </c>
      <c r="F95" s="411" cm="1">
        <f t="array" ref="F95">E95*0.1</f>
        <v>500</v>
      </c>
      <c r="G95" s="412" cm="1">
        <f t="array" ref="G95">E95+F95</f>
        <v>5500</v>
      </c>
    </row>
    <row r="96" ht="28.15" customHeight="1">
      <c r="A96" t="s" s="408">
        <v>100</v>
      </c>
      <c r="B96" s="409">
        <v>2</v>
      </c>
      <c r="C96" s="410">
        <v>2600</v>
      </c>
      <c r="D96" s="409">
        <v>1</v>
      </c>
      <c r="E96" s="410" cm="1">
        <f t="array" ref="E96">B96*C96*D96</f>
        <v>5200</v>
      </c>
      <c r="F96" s="411" cm="1">
        <f t="array" ref="F96">E96*0.1</f>
        <v>520</v>
      </c>
      <c r="G96" s="412" cm="1">
        <f t="array" ref="G96">E96+F96</f>
        <v>5720</v>
      </c>
    </row>
    <row r="97" ht="47.45" customHeight="1">
      <c r="A97" t="s" s="413">
        <v>44</v>
      </c>
      <c r="B97" s="414">
        <v>2</v>
      </c>
      <c r="C97" s="415">
        <v>7000</v>
      </c>
      <c r="D97" s="414">
        <v>1</v>
      </c>
      <c r="E97" s="415" cm="1">
        <f t="array" ref="E97">B97*C97*D97</f>
        <v>14000</v>
      </c>
      <c r="F97" s="416"/>
      <c r="G97" s="417" cm="1">
        <f t="array" ref="G97">E97+F97</f>
        <v>14000</v>
      </c>
    </row>
    <row r="98" ht="47.45" customHeight="1">
      <c r="A98" t="s" s="16">
        <v>45</v>
      </c>
      <c r="B98" s="17">
        <v>4</v>
      </c>
      <c r="C98" s="18">
        <v>5000</v>
      </c>
      <c r="D98" s="17">
        <v>1</v>
      </c>
      <c r="E98" s="18" cm="1">
        <f t="array" ref="E98">B98*C98*D98</f>
        <v>20000</v>
      </c>
      <c r="F98" s="19"/>
      <c r="G98" s="20" cm="1">
        <f t="array" ref="G98">E98+F98</f>
        <v>20000</v>
      </c>
    </row>
    <row r="99" ht="47.45" customHeight="1">
      <c r="A99" t="s" s="21">
        <v>46</v>
      </c>
      <c r="B99" s="22">
        <v>1</v>
      </c>
      <c r="C99" s="23">
        <v>67000</v>
      </c>
      <c r="D99" s="22">
        <v>1</v>
      </c>
      <c r="E99" s="23" cm="1">
        <f t="array" ref="E99">C99*B99</f>
        <v>67000</v>
      </c>
      <c r="F99" s="24" cm="1">
        <f t="array" ref="F99">E99*0.1</f>
        <v>6700</v>
      </c>
      <c r="G99" s="25" cm="1">
        <f t="array" ref="G99">E99+F99</f>
        <v>73700</v>
      </c>
    </row>
    <row r="100" ht="21.7" customHeight="1">
      <c r="A100" s="419"/>
      <c r="B100" s="420"/>
      <c r="C100" s="421"/>
      <c r="D100" s="421"/>
      <c r="E100" s="421"/>
      <c r="F100" s="421"/>
      <c r="G100" s="421"/>
    </row>
    <row r="101" ht="47.45" customHeight="1">
      <c r="A101" t="s" s="422">
        <v>175</v>
      </c>
      <c r="B101" t="s" s="423">
        <v>111</v>
      </c>
      <c r="C101" s="424"/>
      <c r="D101" s="424"/>
      <c r="E101" s="424"/>
      <c r="F101" s="424"/>
      <c r="G101" s="425" cm="1">
        <f t="array" ref="G101">G4</f>
        <v>66000</v>
      </c>
    </row>
    <row r="102" ht="47.45" customHeight="1">
      <c r="A102" t="s" s="71">
        <v>176</v>
      </c>
      <c r="B102" t="s" s="426">
        <v>111</v>
      </c>
      <c r="C102" s="424"/>
      <c r="D102" s="424"/>
      <c r="E102" s="424"/>
      <c r="F102" s="424"/>
      <c r="G102" s="75" cm="1">
        <f t="array" ref="G102">G10</f>
        <v>252780</v>
      </c>
    </row>
    <row r="103" ht="47.45" customHeight="1">
      <c r="A103" t="s" s="427">
        <v>37</v>
      </c>
      <c r="B103" s="428"/>
      <c r="C103" s="429"/>
      <c r="D103" s="429"/>
      <c r="E103" s="429"/>
      <c r="F103" s="429"/>
      <c r="G103" s="430" cm="1">
        <f t="array" ref="G103">G16</f>
        <v>1110515</v>
      </c>
    </row>
    <row r="104" ht="47.45" customHeight="1">
      <c r="A104" t="s" s="431">
        <v>26</v>
      </c>
      <c r="B104" s="432"/>
      <c r="C104" s="433"/>
      <c r="D104" s="433"/>
      <c r="E104" s="433"/>
      <c r="F104" s="433"/>
      <c r="G104" s="434" cm="1">
        <f t="array" ref="G104">G103</f>
        <v>1110515</v>
      </c>
    </row>
    <row r="105" ht="47.45" customHeight="1">
      <c r="A105" t="s" s="435">
        <v>177</v>
      </c>
      <c r="B105" s="436" cm="1">
        <f t="array" ref="B105">F5+G101+G102</f>
        <v>381780</v>
      </c>
      <c r="C105" s="437"/>
      <c r="D105" s="437"/>
      <c r="E105" s="438"/>
      <c r="F105" s="437"/>
      <c r="G105" s="437"/>
    </row>
  </sheetData>
  <mergeCells count="6">
    <mergeCell ref="A1:G1"/>
    <mergeCell ref="B100:C100"/>
    <mergeCell ref="B103:F103"/>
    <mergeCell ref="B104:F104"/>
    <mergeCell ref="B102:F102"/>
    <mergeCell ref="B101:F10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